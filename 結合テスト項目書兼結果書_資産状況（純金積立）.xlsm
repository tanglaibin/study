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/>
  <workbookPr codeName="ThisWorkbook"/>
  <bookViews>
    <workbookView xWindow="405" yWindow="255" windowWidth="37095" windowHeight="10755" tabRatio="761" activeTab="8"/>
  </bookViews>
  <sheets>
    <sheet name="表紙" sheetId="29" r:id="rId1"/>
    <sheet name="更新履歴" sheetId="30" r:id="rId2"/>
    <sheet name="概要" sheetId="31" r:id="rId3"/>
    <sheet name="テストケース観点" sheetId="32" r:id="rId4"/>
    <sheet name="遷移確認" sheetId="33" r:id="rId5"/>
    <sheet name="画面確認" sheetId="34" r:id="rId6"/>
    <sheet name="価格取得" sheetId="19" state="hidden" r:id="rId7"/>
    <sheet name="価格取得_Data" sheetId="20" state="hidden" r:id="rId8"/>
    <sheet name="データ確認" sheetId="28" r:id="rId9"/>
    <sheet name="データ確認_Data" sheetId="27" state="hidden" r:id="rId10"/>
  </sheets>
  <externalReferences>
    <externalReference r:id="rId11"/>
  </externalReferences>
  <definedNames>
    <definedName name="_CTL2" localSheetId="8" hidden="1">{"'IF-AW製造仕様71'!$A$1:$CH$55"}</definedName>
    <definedName name="_CTL2" hidden="1">{"'IF-AW製造仕様71'!$A$1:$CH$55"}</definedName>
    <definedName name="_xlnm._FilterDatabase" localSheetId="8" hidden="1">データ確認!$A$3:$Q$7</definedName>
    <definedName name="a" localSheetId="8" hidden="1">{"'IF-AW製造仕様71'!$A$1:$CH$55"}</definedName>
    <definedName name="a" hidden="1">{"'IF-AW製造仕様71'!$A$1:$CH$55"}</definedName>
    <definedName name="aa" localSheetId="8" hidden="1">{"'IF-AW製造仕様71'!$A$1:$CH$55"}</definedName>
    <definedName name="aa" hidden="1">{"'IF-AW製造仕様71'!$A$1:$CH$55"}</definedName>
    <definedName name="aaa" localSheetId="8" hidden="1">{"'IF-AW製造仕様71'!$A$1:$CH$55"}</definedName>
    <definedName name="aaa" hidden="1">{"'IF-AW製造仕様71'!$A$1:$CH$55"}</definedName>
    <definedName name="aaaaaaa" localSheetId="8" hidden="1">{"'IF-AW製造仕様71'!$A$1:$CH$55"}</definedName>
    <definedName name="aaaaaaa" hidden="1">{"'IF-AW製造仕様71'!$A$1:$CH$55"}</definedName>
    <definedName name="aaaaaaaa" localSheetId="8" hidden="1">{"'IF-AW製造仕様71'!$A$1:$CH$55"}</definedName>
    <definedName name="aaaaaaaa" hidden="1">{"'IF-AW製造仕様71'!$A$1:$CH$55"}</definedName>
    <definedName name="aaaaaaaaa" localSheetId="8" hidden="1">{"'IF-AW製造仕様71'!$A$1:$CH$55"}</definedName>
    <definedName name="aaaaaaaaa" hidden="1">{"'IF-AW製造仕様71'!$A$1:$CH$55"}</definedName>
    <definedName name="aaaaaaaaaaaaaaaaa" localSheetId="8" hidden="1">{"'IF-AW製造仕様71'!$A$1:$CH$55"}</definedName>
    <definedName name="aaaaaaaaaaaaaaaaa" hidden="1">{"'IF-AW製造仕様71'!$A$1:$CH$55"}</definedName>
    <definedName name="aaaaaaaaaaaaaaaaaaaa" localSheetId="8" hidden="1">{"'IF-AW製造仕様71'!$A$1:$CH$55"}</definedName>
    <definedName name="aaaaaaaaaaaaaaaaaaaa" hidden="1">{"'IF-AW製造仕様71'!$A$1:$CH$55"}</definedName>
    <definedName name="Access_Button" hidden="1">"ﾓｼﾞｭｰﾙ一覧_ＳＳＰ_List"</definedName>
    <definedName name="AccessDatabase" hidden="1">"C:\SAKAMOTO\ﾓｼﾞｭｰﾙ一覧.mdb"</definedName>
    <definedName name="b" localSheetId="8" hidden="1">{"'IF-AW製造仕様71'!$A$1:$CH$55"}</definedName>
    <definedName name="b" hidden="1">{"'IF-AW製造仕様71'!$A$1:$CH$55"}</definedName>
    <definedName name="ccc" localSheetId="8" hidden="1">{"'IF-AW製造仕様71'!$A$1:$CH$55"}</definedName>
    <definedName name="ccc" hidden="1">{"'IF-AW製造仕様71'!$A$1:$CH$55"}</definedName>
    <definedName name="COL_NAME">[1]カラム一覧!$A:$E</definedName>
    <definedName name="CTL" localSheetId="8" hidden="1">{"'IF-AW製造仕様71'!$A$1:$CH$55"}</definedName>
    <definedName name="CTL" hidden="1">{"'IF-AW製造仕様71'!$A$1:$CH$55"}</definedName>
    <definedName name="d" localSheetId="8" hidden="1">{"'IF-AW製造仕様71'!$A$1:$CH$55"}</definedName>
    <definedName name="d" hidden="1">{"'IF-AW製造仕様71'!$A$1:$CH$55"}</definedName>
    <definedName name="ddw" localSheetId="8" hidden="1">{"'IF-AW製造仕様71'!$A$1:$CH$55"}</definedName>
    <definedName name="ddw" hidden="1">{"'IF-AW製造仕様71'!$A$1:$CH$55"}</definedName>
    <definedName name="deed" localSheetId="8" hidden="1">{"'IF-AW製造仕様71'!$A$1:$CH$55"}</definedName>
    <definedName name="deed" hidden="1">{"'IF-AW製造仕様71'!$A$1:$CH$55"}</definedName>
    <definedName name="deeeee" localSheetId="8" hidden="1">{"'IF-AW製造仕様71'!$A$1:$CH$55"}</definedName>
    <definedName name="deeeee" hidden="1">{"'IF-AW製造仕様71'!$A$1:$CH$55"}</definedName>
    <definedName name="ｄふぁｄｆ" localSheetId="8" hidden="1">{"'IF-AW製造仕様71'!$A$1:$CH$55"}</definedName>
    <definedName name="ｄふぁｄｆ" hidden="1">{"'IF-AW製造仕様71'!$A$1:$CH$55"}</definedName>
    <definedName name="ecece" localSheetId="8" hidden="1">{"'IF-AW製造仕様71'!$A$1:$CH$55"}</definedName>
    <definedName name="ecece" hidden="1">{"'IF-AW製造仕様71'!$A$1:$CH$55"}</definedName>
    <definedName name="ecee" localSheetId="8" hidden="1">{"'IF-AW製造仕様71'!$A$1:$CH$55"}</definedName>
    <definedName name="ecee" hidden="1">{"'IF-AW製造仕様71'!$A$1:$CH$55"}</definedName>
    <definedName name="edfee" localSheetId="8" hidden="1">{"'IF-AW製造仕様71'!$A$1:$CH$55"}</definedName>
    <definedName name="edfee" hidden="1">{"'IF-AW製造仕様71'!$A$1:$CH$55"}</definedName>
    <definedName name="edfefdef" localSheetId="8" hidden="1">{"'IF-AW製造仕様71'!$A$1:$CH$55"}</definedName>
    <definedName name="edfefdef" hidden="1">{"'IF-AW製造仕様71'!$A$1:$CH$55"}</definedName>
    <definedName name="edffe" localSheetId="8" hidden="1">{"'IF-AW製造仕様71'!$A$1:$CH$55"}</definedName>
    <definedName name="edffe" hidden="1">{"'IF-AW製造仕様71'!$A$1:$CH$55"}</definedName>
    <definedName name="ee" localSheetId="8" hidden="1">{"'IF-AW製造仕様71'!$A$1:$CH$55"}</definedName>
    <definedName name="ee" hidden="1">{"'IF-AW製造仕様71'!$A$1:$CH$55"}</definedName>
    <definedName name="eeee" localSheetId="8" hidden="1">{"'IF-AW製造仕様71'!$A$1:$CH$55"}</definedName>
    <definedName name="eeee" hidden="1">{"'IF-AW製造仕様71'!$A$1:$CH$55"}</definedName>
    <definedName name="eeeee" localSheetId="8" hidden="1">{"'IF-AW製造仕様71'!$A$1:$CH$55"}</definedName>
    <definedName name="eeeee" hidden="1">{"'IF-AW製造仕様71'!$A$1:$CH$55"}</definedName>
    <definedName name="eeeeeee" localSheetId="8" hidden="1">{"'IF-AW製造仕様71'!$A$1:$CH$55"}</definedName>
    <definedName name="eeeeeee" hidden="1">{"'IF-AW製造仕様71'!$A$1:$CH$55"}</definedName>
    <definedName name="ｆ" localSheetId="8" hidden="1">{"'IF-AW製造仕様71'!$A$1:$CH$55"}</definedName>
    <definedName name="ｆ" hidden="1">{"'IF-AW製造仕様71'!$A$1:$CH$55"}</definedName>
    <definedName name="ｆｂｚｓ" localSheetId="8" hidden="1">{"'IF-AW製造仕様71'!$A$1:$CH$55"}</definedName>
    <definedName name="ｆｂｚｓ" hidden="1">{"'IF-AW製造仕様71'!$A$1:$CH$55"}</definedName>
    <definedName name="ｆｄｓ" localSheetId="8" hidden="1">{"'IF-AW製造仕様71'!$A$1:$CH$55"}</definedName>
    <definedName name="ｆｄｓ" hidden="1">{"'IF-AW製造仕様71'!$A$1:$CH$55"}</definedName>
    <definedName name="fefref" localSheetId="8" hidden="1">{"'IF-AW製造仕様71'!$A$1:$CH$55"}</definedName>
    <definedName name="fefref" hidden="1">{"'IF-AW製造仕様71'!$A$1:$CH$55"}</definedName>
    <definedName name="fff" localSheetId="8" hidden="1">{"'IF-AW製造仕様71'!$A$1:$CH$55"}</definedName>
    <definedName name="fff" hidden="1">{"'IF-AW製造仕様71'!$A$1:$CH$55"}</definedName>
    <definedName name="ffwref" localSheetId="8" hidden="1">{"'IF-AW製造仕様71'!$A$1:$CH$55"}</definedName>
    <definedName name="ffwref" hidden="1">{"'IF-AW製造仕様71'!$A$1:$CH$55"}</definedName>
    <definedName name="fgbdghdfbdf" localSheetId="8" hidden="1">{"'IF-AW製造仕様71'!$A$1:$CH$55"}</definedName>
    <definedName name="fgbdghdfbdf" hidden="1">{"'IF-AW製造仕様71'!$A$1:$CH$55"}</definedName>
    <definedName name="ggfthybf" localSheetId="8" hidden="1">{"'IF-AW製造仕様71'!$A$1:$CH$55"}</definedName>
    <definedName name="ggfthybf" hidden="1">{"'IF-AW製造仕様71'!$A$1:$CH$55"}</definedName>
    <definedName name="ggyjhnvfgt" localSheetId="8" hidden="1">{"'IF-AW製造仕様71'!$A$1:$CH$55"}</definedName>
    <definedName name="ggyjhnvfgt" hidden="1">{"'IF-AW製造仕様71'!$A$1:$CH$55"}</definedName>
    <definedName name="h" localSheetId="8" hidden="1">{"'IF-AW製造仕様71'!$A$1:$CH$55"}</definedName>
    <definedName name="h" hidden="1">{"'IF-AW製造仕様71'!$A$1:$CH$55"}</definedName>
    <definedName name="hgbdfdgfgd" localSheetId="8" hidden="1">{"'IF-AW製造仕様71'!$A$1:$CH$55"}</definedName>
    <definedName name="hgbdfdgfgd" hidden="1">{"'IF-AW製造仕様71'!$A$1:$CH$55"}</definedName>
    <definedName name="hhh" localSheetId="8" hidden="1">{"'IF-AW製造仕様71'!$A$1:$CH$55"}</definedName>
    <definedName name="hhh" hidden="1">{"'IF-AW製造仕様71'!$A$1:$CH$55"}</definedName>
    <definedName name="HTML_CodePage" hidden="1">932</definedName>
    <definedName name="HTML_Control" localSheetId="8" hidden="1">{"'IF-AW製造仕様71'!$A$1:$CH$55"}</definedName>
    <definedName name="HTML_Control" hidden="1">{"'IF-AW製造仕様71'!$A$1:$CH$55"}</definedName>
    <definedName name="HTML_Description" hidden="1">""</definedName>
    <definedName name="HTML_Email" hidden="1">""</definedName>
    <definedName name="HTML_Header" hidden="1">"AW製造仕様データ（FJRDG70レコード)"</definedName>
    <definedName name="HTML_LastUpdate" hidden="1">"99/08/26"</definedName>
    <definedName name="HTML_LineAfter" hidden="1">FALSE</definedName>
    <definedName name="HTML_LineBefore" hidden="1">FALSE</definedName>
    <definedName name="HTML_Name" hidden="1">"ななふし"</definedName>
    <definedName name="HTML_OBDlg2" hidden="1">TRUE</definedName>
    <definedName name="HTML_OBDlg4" hidden="1">TRUE</definedName>
    <definedName name="HTML_OS" hidden="1">0</definedName>
    <definedName name="HTML_PathFile" hidden="1">"J:\AW\src\Vb\Common\Reference\RDG71.html"</definedName>
    <definedName name="HTML_Title" hidden="1">"AW製造仕様データ（FJRDG70レコード)-データ構造設計書（ＡＷ）"</definedName>
    <definedName name="HTML1_1" hidden="1">"'[付図1&amp;2.XLS]readme'!$A$2:$F$13"</definedName>
    <definedName name="HTML1_11" hidden="1">1</definedName>
    <definedName name="HTML1_12" hidden="1">"D:\WWW\siketsu_manual2.htm"</definedName>
    <definedName name="HTML1_2" hidden="1">-4146</definedName>
    <definedName name="HTML1_3" hidden="1">"D:\WWW\siketsu_manual.htm"</definedName>
    <definedName name="HTML2_1" hidden="1">"'[付図1&amp;2.XLS]readme'!$A$1:$F$13"</definedName>
    <definedName name="HTML2_11" hidden="1">1</definedName>
    <definedName name="HTML2_12" hidden="1">"D:\WWW\siketsu_manual.htm"</definedName>
    <definedName name="HTML2_2" hidden="1">-4146</definedName>
    <definedName name="HTML2_3" hidden="1">"D:\WWW\siketsu_manual0.htm"</definedName>
    <definedName name="HTMLCount" hidden="1">2</definedName>
    <definedName name="i" localSheetId="8" hidden="1">{"'IF-AW製造仕様71'!$A$1:$CH$55"}</definedName>
    <definedName name="i" hidden="1">{"'IF-AW製造仕様71'!$A$1:$CH$55"}</definedName>
    <definedName name="j" localSheetId="8" hidden="1">{"'IF-AW製造仕様71'!$A$1:$CH$55"}</definedName>
    <definedName name="j" hidden="1">{"'IF-AW製造仕様71'!$A$1:$CH$55"}</definedName>
    <definedName name="jj" localSheetId="8" hidden="1">{"'IF-AW製造仕様71'!$A$1:$CH$55"}</definedName>
    <definedName name="jj" hidden="1">{"'IF-AW製造仕様71'!$A$1:$CH$55"}</definedName>
    <definedName name="jjjj" localSheetId="8" hidden="1">{"'IF-AW製造仕様71'!$A$1:$CH$55"}</definedName>
    <definedName name="jjjj" hidden="1">{"'IF-AW製造仕様71'!$A$1:$CH$55"}</definedName>
    <definedName name="jkhjh" localSheetId="8" hidden="1">{"'IF-AW製造仕様71'!$A$1:$CH$55"}</definedName>
    <definedName name="jkhjh" hidden="1">{"'IF-AW製造仕様71'!$A$1:$CH$55"}</definedName>
    <definedName name="jkjh" localSheetId="8" hidden="1">{"'IF-AW製造仕様71'!$A$1:$CH$55"}</definedName>
    <definedName name="jkjh" hidden="1">{"'IF-AW製造仕様71'!$A$1:$CH$55"}</definedName>
    <definedName name="k" localSheetId="8" hidden="1">{"'IF-AW製造仕様71'!$A$1:$CH$55"}</definedName>
    <definedName name="k" hidden="1">{"'IF-AW製造仕様71'!$A$1:$CH$55"}</definedName>
    <definedName name="m" localSheetId="8" hidden="1">{"'IF-AW製造仕様71'!$A$1:$CH$55"}</definedName>
    <definedName name="m" hidden="1">{"'IF-AW製造仕様71'!$A$1:$CH$55"}</definedName>
    <definedName name="n" localSheetId="8" hidden="1">{"'IF-AW製造仕様71'!$A$1:$CH$55"}</definedName>
    <definedName name="n" hidden="1">{"'IF-AW製造仕様71'!$A$1:$CH$55"}</definedName>
    <definedName name="nnnnnn" localSheetId="8" hidden="1">{"'IF-AW製造仕様71'!$A$1:$CH$55"}</definedName>
    <definedName name="nnnnnn" hidden="1">{"'IF-AW製造仕様71'!$A$1:$CH$55"}</definedName>
    <definedName name="o" localSheetId="8" hidden="1">{"'IF-AW製造仕様71'!$A$1:$CH$55"}</definedName>
    <definedName name="o" hidden="1">{"'IF-AW製造仕様71'!$A$1:$CH$55"}</definedName>
    <definedName name="opopopo" localSheetId="8" hidden="1">{"'IF-AW製造仕様71'!$A$1:$CH$55"}</definedName>
    <definedName name="opopopo" hidden="1">{"'IF-AW製造仕様71'!$A$1:$CH$55"}</definedName>
    <definedName name="_xlnm.Print_Area" localSheetId="8">データ確認!$A$1:$AE$26</definedName>
    <definedName name="_xlnm.Print_Area" localSheetId="5">画面確認!$A$1:$AY$35</definedName>
    <definedName name="_xlnm.Print_Area" localSheetId="2">概要!$A$1:$AB$49</definedName>
    <definedName name="_xlnm.Print_Area" localSheetId="4">遷移確認!$A$1:$O$12</definedName>
    <definedName name="_xlnm.Print_Titles" localSheetId="8">データ確認!$1:$7</definedName>
    <definedName name="q" localSheetId="8" hidden="1">{"'IF-AW製造仕様71'!$A$1:$CH$55"}</definedName>
    <definedName name="q" hidden="1">{"'IF-AW製造仕様71'!$A$1:$CH$55"}</definedName>
    <definedName name="qaqa" localSheetId="8" hidden="1">{"'IF-AW製造仕様71'!$A$1:$CH$55"}</definedName>
    <definedName name="qaqa" hidden="1">{"'IF-AW製造仕様71'!$A$1:$CH$55"}</definedName>
    <definedName name="qdryhbf" localSheetId="8" hidden="1">{"'IF-AW製造仕様71'!$A$1:$CH$55"}</definedName>
    <definedName name="qdryhbf" hidden="1">{"'IF-AW製造仕様71'!$A$1:$CH$55"}</definedName>
    <definedName name="qqq" localSheetId="8" hidden="1">{"'IF-AW製造仕様71'!$A$1:$CH$55"}</definedName>
    <definedName name="qqq" hidden="1">{"'IF-AW製造仕様71'!$A$1:$CH$55"}</definedName>
    <definedName name="qqqqqqq" localSheetId="8" hidden="1">{"'IF-AW製造仕様71'!$A$1:$CH$55"}</definedName>
    <definedName name="qqqqqqq" hidden="1">{"'IF-AW製造仕様71'!$A$1:$CH$55"}</definedName>
    <definedName name="qqqqqqqqq" localSheetId="8" hidden="1">{"'IF-AW製造仕様71'!$A$1:$CH$55"}</definedName>
    <definedName name="qqqqqqqqq" hidden="1">{"'IF-AW製造仕様71'!$A$1:$CH$55"}</definedName>
    <definedName name="rrrr" localSheetId="8" hidden="1">{"'IF-AW製造仕様71'!$A$1:$CH$55"}</definedName>
    <definedName name="rrrr" hidden="1">{"'IF-AW製造仕様71'!$A$1:$CH$55"}</definedName>
    <definedName name="ｒｗｒｗｒｗ" localSheetId="8" hidden="1">{"'IF-AW製造仕様71'!$A$1:$CH$55"}</definedName>
    <definedName name="ｒｗｒｗｒｗ" hidden="1">{"'IF-AW製造仕様71'!$A$1:$CH$55"}</definedName>
    <definedName name="ｒｗｒｗｒうぇ" localSheetId="8" hidden="1">{"'IF-AW製造仕様71'!$A$1:$CH$55"}</definedName>
    <definedName name="ｒｗｒｗｒうぇ" hidden="1">{"'IF-AW製造仕様71'!$A$1:$CH$55"}</definedName>
    <definedName name="ｒｗれれ" localSheetId="8" hidden="1">{"'IF-AW製造仕様71'!$A$1:$CH$55"}</definedName>
    <definedName name="ｒｗれれ" hidden="1">{"'IF-AW製造仕様71'!$A$1:$CH$55"}</definedName>
    <definedName name="ｒっｔうぇｒｔｗｔ" localSheetId="8" hidden="1">{"'IF-AW製造仕様71'!$A$1:$CH$55"}</definedName>
    <definedName name="ｒっｔうぇｒｔｗｔ" hidden="1">{"'IF-AW製造仕様71'!$A$1:$CH$55"}</definedName>
    <definedName name="ss" localSheetId="8" hidden="1">{"'IF-AW製造仕様71'!$A$1:$CH$55"}</definedName>
    <definedName name="ss" hidden="1">{"'IF-AW製造仕様71'!$A$1:$CH$55"}</definedName>
    <definedName name="sss" localSheetId="8" hidden="1">{"'IF-AW製造仕様71'!$A$1:$CH$55"}</definedName>
    <definedName name="sss" hidden="1">{"'IF-AW製造仕様71'!$A$1:$CH$55"}</definedName>
    <definedName name="t" localSheetId="8" hidden="1">{"'IF-AW製造仕様71'!$A$1:$CH$55"}</definedName>
    <definedName name="t" hidden="1">{"'IF-AW製造仕様71'!$A$1:$CH$55"}</definedName>
    <definedName name="ttt" localSheetId="8" hidden="1">{"'IF-AW製造仕様71'!$A$1:$CH$55"}</definedName>
    <definedName name="ttt" hidden="1">{"'IF-AW製造仕様71'!$A$1:$CH$55"}</definedName>
    <definedName name="u" localSheetId="8" hidden="1">{"'IF-AW製造仕様71'!$A$1:$CH$55"}</definedName>
    <definedName name="u" hidden="1">{"'IF-AW製造仕様71'!$A$1:$CH$55"}</definedName>
    <definedName name="uuuu" localSheetId="8" hidden="1">{"'IF-AW製造仕様71'!$A$1:$CH$55"}</definedName>
    <definedName name="uuuu" hidden="1">{"'IF-AW製造仕様71'!$A$1:$CH$55"}</definedName>
    <definedName name="y" localSheetId="8" hidden="1">{"'IF-AW製造仕様71'!$A$1:$CH$55"}</definedName>
    <definedName name="y" hidden="1">{"'IF-AW製造仕様71'!$A$1:$CH$55"}</definedName>
    <definedName name="yy" localSheetId="8" hidden="1">{"'IF-AW製造仕様71'!$A$1:$CH$55"}</definedName>
    <definedName name="yy" hidden="1">{"'IF-AW製造仕様71'!$A$1:$CH$55"}</definedName>
    <definedName name="z" localSheetId="8" hidden="1">{"'IF-AW製造仕様71'!$A$1:$CH$55"}</definedName>
    <definedName name="z" hidden="1">{"'IF-AW製造仕様71'!$A$1:$CH$55"}</definedName>
    <definedName name="Z_03151E56_ABC8_4A6C_B6E5_9A7E07C8BD4B_.wvu.Rows" localSheetId="8" hidden="1">#REF!,#REF!</definedName>
    <definedName name="Z_03151E56_ABC8_4A6C_B6E5_9A7E07C8BD4B_.wvu.Rows" localSheetId="9" hidden="1">#REF!,#REF!</definedName>
    <definedName name="Z_03151E56_ABC8_4A6C_B6E5_9A7E07C8BD4B_.wvu.Rows" localSheetId="7" hidden="1">#REF!,#REF!</definedName>
    <definedName name="Z_03151E56_ABC8_4A6C_B6E5_9A7E07C8BD4B_.wvu.Rows" hidden="1">#REF!,#REF!</definedName>
    <definedName name="zzzzzzzzz" localSheetId="8" hidden="1">{"'IF-AW製造仕様71'!$A$1:$CH$55"}</definedName>
    <definedName name="zzzzzzzzz" hidden="1">{"'IF-AW製造仕様71'!$A$1:$CH$55"}</definedName>
    <definedName name="あ" localSheetId="8" hidden="1">{"'IF-AW製造仕様71'!$A$1:$CH$55"}</definedName>
    <definedName name="あ" hidden="1">{"'IF-AW製造仕様71'!$A$1:$CH$55"}</definedName>
    <definedName name="あああ" localSheetId="8" hidden="1">{"'IF-AW製造仕様71'!$A$1:$CH$55"}</definedName>
    <definedName name="あああ" hidden="1">{"'IF-AW製造仕様71'!$A$1:$CH$55"}</definedName>
    <definedName name="ああああ" localSheetId="8" hidden="1">{"'IF-AW製造仕様71'!$A$1:$CH$55"}</definedName>
    <definedName name="ああああ" hidden="1">{"'IF-AW製造仕様71'!$A$1:$CH$55"}</definedName>
    <definedName name="あふぁｄ" localSheetId="8" hidden="1">{"'IF-AW製造仕様71'!$A$1:$CH$55"}</definedName>
    <definedName name="あふぁｄ" hidden="1">{"'IF-AW製造仕様71'!$A$1:$CH$55"}</definedName>
    <definedName name="っっっｒ" localSheetId="8" hidden="1">{"'IF-AW製造仕様71'!$A$1:$CH$55"}</definedName>
    <definedName name="っっっｒ" hidden="1">{"'IF-AW製造仕様71'!$A$1:$CH$55"}</definedName>
    <definedName name="っっっっｒ" localSheetId="8" hidden="1">{"'IF-AW製造仕様71'!$A$1:$CH$55"}</definedName>
    <definedName name="っっっっｒ" hidden="1">{"'IF-AW製造仕様71'!$A$1:$CH$55"}</definedName>
    <definedName name="れれれｒ" localSheetId="8" hidden="1">{"'IF-AW製造仕様71'!$A$1:$CH$55"}</definedName>
    <definedName name="れれれｒ" hidden="1">{"'IF-AW製造仕様71'!$A$1:$CH$55"}</definedName>
    <definedName name="運用支援" localSheetId="8" hidden="1">{"'IF-AW製造仕様71'!$A$1:$CH$55"}</definedName>
    <definedName name="運用支援" hidden="1">{"'IF-AW製造仕様71'!$A$1:$CH$55"}</definedName>
    <definedName name="運用支援２" localSheetId="8" hidden="1">{"'IF-AW製造仕様71'!$A$1:$CH$55"}</definedName>
    <definedName name="運用支援２" hidden="1">{"'IF-AW製造仕様71'!$A$1:$CH$55"}</definedName>
    <definedName name="開発機" localSheetId="8" hidden="1">{"'IF-AW製造仕様71'!$A$1:$CH$55"}</definedName>
    <definedName name="開発機" hidden="1">{"'IF-AW製造仕様71'!$A$1:$CH$55"}</definedName>
    <definedName name="開発機のスケジュール" localSheetId="8" hidden="1">{"'IF-AW製造仕様71'!$A$1:$CH$55"}</definedName>
    <definedName name="開発機のスケジュール" hidden="1">{"'IF-AW製造仕様71'!$A$1:$CH$55"}</definedName>
    <definedName name="注文ステータス" localSheetId="8">#REF!</definedName>
    <definedName name="注文ステータス" localSheetId="9">#REF!</definedName>
    <definedName name="注文ステータス">#REF!</definedName>
    <definedName name="売買" localSheetId="8">#REF!</definedName>
    <definedName name="売買" localSheetId="9">#REF!</definedName>
    <definedName name="売買">#REF!</definedName>
    <definedName name="別紙１" localSheetId="8" hidden="1">{"'IF-AW製造仕様71'!$A$1:$CH$55"}</definedName>
    <definedName name="別紙１" hidden="1">{"'IF-AW製造仕様71'!$A$1:$CH$55"}</definedName>
    <definedName name="別紙１０" localSheetId="8" hidden="1">{"'IF-AW製造仕様71'!$A$1:$CH$55"}</definedName>
    <definedName name="別紙１０" hidden="1">{"'IF-AW製造仕様71'!$A$1:$CH$55"}</definedName>
    <definedName name="別紙２" localSheetId="8" hidden="1">{"'IF-AW製造仕様71'!$A$1:$CH$55"}</definedName>
    <definedName name="別紙２" hidden="1">{"'IF-AW製造仕様71'!$A$1:$CH$55"}</definedName>
    <definedName name="別紙３" localSheetId="8" hidden="1">{"'IF-AW製造仕様71'!$A$1:$CH$55"}</definedName>
    <definedName name="別紙３" hidden="1">{"'IF-AW製造仕様71'!$A$1:$CH$55"}</definedName>
    <definedName name="別紙４" localSheetId="8" hidden="1">{"'IF-AW製造仕様71'!$A$1:$CH$55"}</definedName>
    <definedName name="別紙４" hidden="1">{"'IF-AW製造仕様71'!$A$1:$CH$55"}</definedName>
    <definedName name="別紙５" localSheetId="8" hidden="1">{"'IF-AW製造仕様71'!$A$1:$CH$55"}</definedName>
    <definedName name="別紙５" hidden="1">{"'IF-AW製造仕様71'!$A$1:$CH$55"}</definedName>
    <definedName name="別紙６" localSheetId="8" hidden="1">{"'IF-AW製造仕様71'!$A$1:$CH$55"}</definedName>
    <definedName name="別紙６" hidden="1">{"'IF-AW製造仕様71'!$A$1:$CH$55"}</definedName>
    <definedName name="別紙７" localSheetId="8" hidden="1">{"'IF-AW製造仕様71'!$A$1:$CH$55"}</definedName>
    <definedName name="別紙７" hidden="1">{"'IF-AW製造仕様71'!$A$1:$CH$55"}</definedName>
    <definedName name="別紙８" localSheetId="8" hidden="1">{"'IF-AW製造仕様71'!$A$1:$CH$55"}</definedName>
    <definedName name="別紙８" hidden="1">{"'IF-AW製造仕様71'!$A$1:$CH$55"}</definedName>
    <definedName name="別紙９" localSheetId="8" hidden="1">{"'IF-AW製造仕様71'!$A$1:$CH$55"}</definedName>
    <definedName name="別紙９" hidden="1">{"'IF-AW製造仕様71'!$A$1:$CH$55"}</definedName>
    <definedName name="銘柄" localSheetId="8">#REF!</definedName>
    <definedName name="銘柄" localSheetId="9">#REF!</definedName>
    <definedName name="銘柄">#REF!</definedName>
  </definedNames>
  <calcPr calcId="145621"/>
</workbook>
</file>

<file path=xl/calcChain.xml><?xml version="1.0" encoding="utf-8"?>
<calcChain xmlns="http://schemas.openxmlformats.org/spreadsheetml/2006/main">
  <c r="A9" i="28" l="1"/>
  <c r="A10" i="28"/>
  <c r="A11" i="28"/>
  <c r="A12" i="28"/>
  <c r="A13" i="28"/>
  <c r="A14" i="28"/>
  <c r="A15" i="28"/>
  <c r="A16" i="28"/>
  <c r="A17" i="28"/>
  <c r="A18" i="28"/>
  <c r="E8" i="27"/>
  <c r="D8" i="27"/>
  <c r="D6" i="27"/>
  <c r="E6" i="27"/>
  <c r="F6" i="27"/>
  <c r="D7" i="27"/>
  <c r="E7" i="27"/>
  <c r="F7" i="27"/>
  <c r="F5" i="27"/>
  <c r="E5" i="27"/>
  <c r="D5" i="27"/>
  <c r="A8" i="28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12" i="33"/>
  <c r="A11" i="33"/>
  <c r="A10" i="33"/>
  <c r="O28" i="31"/>
  <c r="O27" i="31"/>
  <c r="O26" i="31"/>
  <c r="I31" i="29"/>
  <c r="B9" i="32"/>
  <c r="B6" i="32"/>
  <c r="B5" i="32"/>
  <c r="B4" i="32"/>
  <c r="B3" i="32"/>
  <c r="B10" i="32" l="1"/>
  <c r="I6" i="32"/>
  <c r="H9" i="32"/>
  <c r="D9" i="32"/>
  <c r="E9" i="32"/>
  <c r="G9" i="32"/>
  <c r="C9" i="32"/>
  <c r="F9" i="32"/>
  <c r="I9" i="32"/>
  <c r="X24" i="28"/>
  <c r="C6" i="32"/>
  <c r="H6" i="32"/>
  <c r="F6" i="32"/>
  <c r="D6" i="32"/>
  <c r="F3" i="32"/>
  <c r="F4" i="32"/>
  <c r="H5" i="32"/>
  <c r="C5" i="32"/>
  <c r="C3" i="32"/>
  <c r="H4" i="32"/>
  <c r="C4" i="32"/>
  <c r="D5" i="32"/>
  <c r="F5" i="32"/>
  <c r="H3" i="32"/>
  <c r="D4" i="32"/>
  <c r="D3" i="32"/>
  <c r="E6" i="32" l="1"/>
  <c r="G6" i="32" s="1"/>
  <c r="Y24" i="28"/>
  <c r="D10" i="32"/>
  <c r="H10" i="32"/>
  <c r="I5" i="32"/>
  <c r="E4" i="32"/>
  <c r="G4" i="32" s="1"/>
  <c r="C10" i="32"/>
  <c r="E3" i="32"/>
  <c r="E5" i="32"/>
  <c r="G5" i="32" s="1"/>
  <c r="I4" i="32"/>
  <c r="F10" i="32"/>
  <c r="I10" i="32" s="1"/>
  <c r="I3" i="32"/>
  <c r="X22" i="28"/>
  <c r="Y22" i="28" s="1"/>
  <c r="E10" i="32" l="1"/>
  <c r="G3" i="32"/>
  <c r="G10" i="32" s="1"/>
  <c r="AC24" i="28"/>
  <c r="AC22" i="28"/>
  <c r="AA4" i="28"/>
  <c r="F8" i="27"/>
  <c r="Y6" i="28" s="1"/>
  <c r="G8" i="27" l="1"/>
  <c r="G7" i="27" s="1"/>
  <c r="G6" i="27" l="1"/>
  <c r="G5" i="27" s="1"/>
  <c r="G50" i="27" s="1"/>
  <c r="G23" i="27" l="1"/>
  <c r="H13" i="19"/>
  <c r="F13" i="19" l="1"/>
  <c r="H19" i="19"/>
  <c r="H17" i="19"/>
  <c r="H15" i="19"/>
  <c r="F7" i="20"/>
  <c r="F6" i="20"/>
  <c r="E6" i="20"/>
  <c r="E7" i="20"/>
  <c r="E5" i="20"/>
  <c r="F5" i="20"/>
  <c r="G6" i="19"/>
  <c r="G5" i="19"/>
  <c r="D5" i="20"/>
  <c r="G17" i="19" l="1"/>
  <c r="F17" i="19"/>
  <c r="F15" i="19"/>
  <c r="G13" i="19"/>
  <c r="Z22" i="28" s="1"/>
  <c r="G21" i="20"/>
  <c r="G43" i="20"/>
  <c r="G55" i="20"/>
  <c r="G33" i="20"/>
  <c r="G7" i="20"/>
  <c r="G6" i="20"/>
  <c r="G5" i="20" s="1"/>
  <c r="AB22" i="28" l="1"/>
  <c r="AD22" i="28"/>
  <c r="G19" i="19"/>
  <c r="Z24" i="28"/>
  <c r="AA22" i="28"/>
  <c r="F19" i="19"/>
  <c r="G15" i="19"/>
  <c r="AB24" i="28" l="1"/>
  <c r="Y18" i="28" s="1"/>
  <c r="AA18" i="28" s="1"/>
  <c r="AD24" i="28"/>
  <c r="AA24" i="28"/>
  <c r="AD18" i="28" s="1"/>
</calcChain>
</file>

<file path=xl/comments1.xml><?xml version="1.0" encoding="utf-8"?>
<comments xmlns="http://schemas.openxmlformats.org/spreadsheetml/2006/main">
  <authors>
    <author>tkawamoto</author>
  </authors>
  <commentList>
    <comment ref="I17" authorId="0">
      <text>
        <r>
          <rPr>
            <b/>
            <sz val="9"/>
            <color indexed="81"/>
            <rFont val="ＭＳ Ｐゴシック"/>
            <family val="3"/>
            <charset val="128"/>
          </rPr>
          <t>結合テストのサブシステム名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19" authorId="0">
      <text>
        <r>
          <rPr>
            <b/>
            <sz val="9"/>
            <color indexed="81"/>
            <rFont val="ＭＳ Ｐゴシック"/>
            <family val="3"/>
            <charset val="128"/>
          </rPr>
          <t>結合テストのサブシステム名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21" authorId="0">
      <text>
        <r>
          <rPr>
            <b/>
            <sz val="9"/>
            <color indexed="81"/>
            <rFont val="ＭＳ Ｐゴシック"/>
            <family val="3"/>
            <charset val="128"/>
          </rPr>
          <t>結合テストの機能名</t>
        </r>
      </text>
    </comment>
  </commentList>
</comments>
</file>

<file path=xl/comments2.xml><?xml version="1.0" encoding="utf-8"?>
<comments xmlns="http://schemas.openxmlformats.org/spreadsheetml/2006/main">
  <authors>
    <author>mayamada</author>
  </authors>
  <commentList>
    <comment ref="B9" authorId="0">
      <text>
        <r>
          <rPr>
            <sz val="9"/>
            <color indexed="81"/>
            <rFont val="ＭＳ Ｐゴシック"/>
            <family val="3"/>
            <charset val="128"/>
          </rPr>
          <t>○：対象
×：対象外</t>
        </r>
      </text>
    </comment>
    <comment ref="C9" authorId="0">
      <text>
        <r>
          <rPr>
            <sz val="9"/>
            <color indexed="81"/>
            <rFont val="ＭＳ Ｐゴシック"/>
            <family val="3"/>
            <charset val="128"/>
          </rPr>
          <t>修正　：修正箇所の確認用テストケース
デグレ：デグレ確認用のテストケース</t>
        </r>
      </text>
    </comment>
  </commentList>
</comments>
</file>

<file path=xl/comments3.xml><?xml version="1.0" encoding="utf-8"?>
<comments xmlns="http://schemas.openxmlformats.org/spreadsheetml/2006/main">
  <authors>
    <author>mayamada</author>
  </authors>
  <commentList>
    <comment ref="B8" authorId="0">
      <text>
        <r>
          <rPr>
            <sz val="9"/>
            <color indexed="81"/>
            <rFont val="ＭＳ Ｐゴシック"/>
            <family val="3"/>
            <charset val="128"/>
          </rPr>
          <t>○：対象
×：対象外</t>
        </r>
      </text>
    </comment>
    <comment ref="C8" authorId="0">
      <text>
        <r>
          <rPr>
            <sz val="9"/>
            <color indexed="81"/>
            <rFont val="ＭＳ Ｐゴシック"/>
            <family val="3"/>
            <charset val="128"/>
          </rPr>
          <t>修正　：修正箇所の確認用テストケース
デグレ：デグレ確認用のテストケース</t>
        </r>
      </text>
    </comment>
  </commentList>
</comments>
</file>

<file path=xl/comments4.xml><?xml version="1.0" encoding="utf-8"?>
<comments xmlns="http://schemas.openxmlformats.org/spreadsheetml/2006/main">
  <authors>
    <author>mayamada</author>
    <author>En Syou</author>
  </authors>
  <commentList>
    <comment ref="B7" authorId="0">
      <text>
        <r>
          <rPr>
            <sz val="9"/>
            <color indexed="81"/>
            <rFont val="ＭＳ Ｐゴシック"/>
            <family val="3"/>
            <charset val="128"/>
          </rPr>
          <t>○：対象
×：対象外</t>
        </r>
      </text>
    </comment>
    <comment ref="C7" authorId="0">
      <text>
        <r>
          <rPr>
            <sz val="9"/>
            <color indexed="81"/>
            <rFont val="ＭＳ Ｐゴシック"/>
            <family val="3"/>
            <charset val="128"/>
          </rPr>
          <t>修正　：修正箇所の確認用テストケース
デグレ：デグレ確認用のテストケース</t>
        </r>
      </text>
    </comment>
    <comment ref="AA20" authorId="1">
      <text>
        <r>
          <rPr>
            <b/>
            <sz val="11"/>
            <color indexed="81"/>
            <rFont val="ＭＳ 明朝"/>
            <family val="1"/>
            <charset val="128"/>
          </rPr>
          <t xml:space="preserve">買取価格＊保有グラム数（小数点以下切り捨て）
</t>
        </r>
      </text>
    </comment>
    <comment ref="AB20" authorId="1">
      <text>
        <r>
          <rPr>
            <b/>
            <sz val="11"/>
            <color indexed="81"/>
            <rFont val="ＭＳ 明朝"/>
            <family val="1"/>
            <charset val="128"/>
          </rPr>
          <t>（買取価格ー平均取得単価）＊保有グラム数量(小数点以下切り捨て)</t>
        </r>
        <r>
          <rPr>
            <sz val="11"/>
            <color indexed="81"/>
            <rFont val="ＭＳ 明朝"/>
            <family val="1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<sst xmlns="http://schemas.openxmlformats.org/spreadsheetml/2006/main" count="799" uniqueCount="304">
  <si>
    <t>2.前提</t>
    <rPh sb="2" eb="4">
      <t>ゼンテイ</t>
    </rPh>
    <phoneticPr fontId="7"/>
  </si>
  <si>
    <t>・環境：テスト環境にて実施</t>
    <rPh sb="1" eb="3">
      <t>カンキョウ</t>
    </rPh>
    <rPh sb="7" eb="9">
      <t>カンキョウ</t>
    </rPh>
    <rPh sb="11" eb="13">
      <t>ジッシ</t>
    </rPh>
    <phoneticPr fontId="7"/>
  </si>
  <si>
    <t>3.テストケース概要</t>
    <rPh sb="8" eb="10">
      <t>ガイヨウ</t>
    </rPh>
    <phoneticPr fontId="7"/>
  </si>
  <si>
    <t>大項目</t>
    <rPh sb="0" eb="3">
      <t>ダイコウモク</t>
    </rPh>
    <phoneticPr fontId="7"/>
  </si>
  <si>
    <t>テスト対象</t>
    <rPh sb="3" eb="5">
      <t>タイショウ</t>
    </rPh>
    <phoneticPr fontId="7"/>
  </si>
  <si>
    <t>ケース概要</t>
    <rPh sb="3" eb="5">
      <t>ガイヨウ</t>
    </rPh>
    <phoneticPr fontId="7"/>
  </si>
  <si>
    <t>更新履歴</t>
    <rPh sb="0" eb="2">
      <t>コウシン</t>
    </rPh>
    <rPh sb="2" eb="4">
      <t>リレキ</t>
    </rPh>
    <phoneticPr fontId="7"/>
  </si>
  <si>
    <t>日付</t>
    <rPh sb="0" eb="2">
      <t>ヒヅケ</t>
    </rPh>
    <phoneticPr fontId="7"/>
  </si>
  <si>
    <t>更新者</t>
    <rPh sb="0" eb="3">
      <t>コウシンシャ</t>
    </rPh>
    <phoneticPr fontId="7"/>
  </si>
  <si>
    <t>版数</t>
    <rPh sb="0" eb="2">
      <t>ハンスウ</t>
    </rPh>
    <phoneticPr fontId="7"/>
  </si>
  <si>
    <t>内容</t>
    <rPh sb="0" eb="2">
      <t>ナイヨウ</t>
    </rPh>
    <phoneticPr fontId="7"/>
  </si>
  <si>
    <t>-</t>
  </si>
  <si>
    <t>新規作成</t>
    <rPh sb="0" eb="2">
      <t>シンキ</t>
    </rPh>
    <rPh sb="2" eb="4">
      <t>サクセイ</t>
    </rPh>
    <phoneticPr fontId="7"/>
  </si>
  <si>
    <t>結合テスト項目書兼結果書</t>
    <rPh sb="0" eb="2">
      <t>ケツゴウ</t>
    </rPh>
    <rPh sb="5" eb="7">
      <t>コウモク</t>
    </rPh>
    <rPh sb="7" eb="8">
      <t>ショ</t>
    </rPh>
    <rPh sb="8" eb="9">
      <t>ケン</t>
    </rPh>
    <rPh sb="9" eb="11">
      <t>ケッカ</t>
    </rPh>
    <rPh sb="11" eb="12">
      <t>ショ</t>
    </rPh>
    <phoneticPr fontId="7"/>
  </si>
  <si>
    <t>Web取引システム</t>
  </si>
  <si>
    <t>第1.0版</t>
  </si>
  <si>
    <t>株式会社グローテック</t>
    <rPh sb="0" eb="4">
      <t>カブシキガイシャ</t>
    </rPh>
    <phoneticPr fontId="7"/>
  </si>
  <si>
    <t>検印</t>
    <rPh sb="0" eb="2">
      <t>ケンイン</t>
    </rPh>
    <phoneticPr fontId="7"/>
  </si>
  <si>
    <t>承認</t>
    <rPh sb="0" eb="2">
      <t>ショウニン</t>
    </rPh>
    <phoneticPr fontId="7"/>
  </si>
  <si>
    <t>担当</t>
    <rPh sb="0" eb="2">
      <t>タントウ</t>
    </rPh>
    <phoneticPr fontId="7"/>
  </si>
  <si>
    <t>テスト件数</t>
    <rPh sb="3" eb="5">
      <t>ケンスウ</t>
    </rPh>
    <phoneticPr fontId="7"/>
  </si>
  <si>
    <t xml:space="preserve">        テスト結果</t>
    <rPh sb="11" eb="13">
      <t>ケッカ</t>
    </rPh>
    <phoneticPr fontId="7"/>
  </si>
  <si>
    <t>備考</t>
    <rPh sb="0" eb="2">
      <t>ビコウ</t>
    </rPh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</si>
  <si>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</si>
  <si>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</si>
  <si>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対象外</t>
    <rPh sb="0" eb="3">
      <t>タイショウガイ</t>
    </rPh>
    <phoneticPr fontId="7"/>
  </si>
  <si>
    <t>総数</t>
    <rPh sb="0" eb="2">
      <t>ソウスウ</t>
    </rPh>
    <phoneticPr fontId="7"/>
  </si>
  <si>
    <t>完了</t>
    <rPh sb="0" eb="2">
      <t>カンリョウ</t>
    </rPh>
    <phoneticPr fontId="7"/>
  </si>
  <si>
    <t>残数</t>
    <rPh sb="0" eb="1">
      <t>ザン</t>
    </rPh>
    <rPh sb="1" eb="2">
      <t>スウ</t>
    </rPh>
    <phoneticPr fontId="7"/>
  </si>
  <si>
    <t>残NG</t>
    <rPh sb="0" eb="1">
      <t>ザン</t>
    </rPh>
    <phoneticPr fontId="7"/>
  </si>
  <si>
    <t>進捗</t>
    <rPh sb="0" eb="2">
      <t>シンチョク</t>
    </rPh>
    <phoneticPr fontId="7"/>
  </si>
  <si>
    <t>合計</t>
    <rPh sb="0" eb="2">
      <t>ゴウケイ</t>
    </rPh>
    <phoneticPr fontId="7"/>
  </si>
  <si>
    <t>○</t>
  </si>
  <si>
    <t>修正</t>
  </si>
  <si>
    <t>正常系</t>
  </si>
  <si>
    <t>実施者（検証者）記入欄</t>
    <rPh sb="4" eb="6">
      <t>ケンショウ</t>
    </rPh>
    <rPh sb="6" eb="7">
      <t>シャ</t>
    </rPh>
    <phoneticPr fontId="7"/>
  </si>
  <si>
    <t>比較</t>
    <rPh sb="0" eb="2">
      <t>ヒカク</t>
    </rPh>
    <phoneticPr fontId="7"/>
  </si>
  <si>
    <t>対象</t>
    <rPh sb="0" eb="2">
      <t>タイショウ</t>
    </rPh>
    <phoneticPr fontId="7"/>
  </si>
  <si>
    <t>観点</t>
    <rPh sb="0" eb="2">
      <t>カンテン</t>
    </rPh>
    <phoneticPr fontId="7"/>
  </si>
  <si>
    <t>区分</t>
    <rPh sb="0" eb="2">
      <t>クブン</t>
    </rPh>
    <phoneticPr fontId="7"/>
  </si>
  <si>
    <t>結果</t>
    <rPh sb="0" eb="2">
      <t>ケッカ</t>
    </rPh>
    <phoneticPr fontId="7"/>
  </si>
  <si>
    <t>回数</t>
    <rPh sb="0" eb="2">
      <t>カイスウ</t>
    </rPh>
    <phoneticPr fontId="7"/>
  </si>
  <si>
    <t>実施日</t>
    <rPh sb="0" eb="2">
      <t>ジッシ</t>
    </rPh>
    <rPh sb="2" eb="3">
      <t>ビ</t>
    </rPh>
    <phoneticPr fontId="7"/>
  </si>
  <si>
    <t>実施者</t>
    <rPh sb="0" eb="2">
      <t>ジッシ</t>
    </rPh>
    <rPh sb="2" eb="3">
      <t>シャ</t>
    </rPh>
    <phoneticPr fontId="7"/>
  </si>
  <si>
    <t>検証日</t>
    <rPh sb="0" eb="2">
      <t>ケンショウ</t>
    </rPh>
    <rPh sb="2" eb="3">
      <t>ビ</t>
    </rPh>
    <phoneticPr fontId="7"/>
  </si>
  <si>
    <t>検証者</t>
    <rPh sb="0" eb="2">
      <t>ケンショウ</t>
    </rPh>
    <rPh sb="2" eb="3">
      <t>シャ</t>
    </rPh>
    <phoneticPr fontId="7"/>
  </si>
  <si>
    <t>想定結果</t>
  </si>
  <si>
    <t>●</t>
  </si>
  <si>
    <t>取引日取得</t>
    <rPh sb="0" eb="2">
      <t>トリヒキ</t>
    </rPh>
    <rPh sb="2" eb="3">
      <t>ビ</t>
    </rPh>
    <rPh sb="3" eb="5">
      <t>シュトク</t>
    </rPh>
    <phoneticPr fontId="32"/>
  </si>
  <si>
    <t>TradeDB</t>
  </si>
  <si>
    <t>受渡日</t>
  </si>
  <si>
    <t>削除フラグ</t>
  </si>
  <si>
    <t>作成日時</t>
  </si>
  <si>
    <t>作成者</t>
  </si>
  <si>
    <t>更新日時</t>
  </si>
  <si>
    <t>更新者</t>
  </si>
  <si>
    <t>企業コード</t>
  </si>
  <si>
    <t>部店コード</t>
  </si>
  <si>
    <t>顧客コード</t>
  </si>
  <si>
    <t>★ステージング接続先</t>
    <rPh sb="7" eb="9">
      <t>セツゾク</t>
    </rPh>
    <rPh sb="9" eb="10">
      <t>サキ</t>
    </rPh>
    <phoneticPr fontId="29"/>
  </si>
  <si>
    <t>■DB接続情報</t>
    <rPh sb="3" eb="5">
      <t>セツゾク</t>
    </rPh>
    <rPh sb="5" eb="7">
      <t>ジョウホウ</t>
    </rPh>
    <phoneticPr fontId="5"/>
  </si>
  <si>
    <t>■データ取得条件</t>
    <rPh sb="4" eb="6">
      <t>シュトク</t>
    </rPh>
    <rPh sb="6" eb="8">
      <t>ジョウケン</t>
    </rPh>
    <phoneticPr fontId="5"/>
  </si>
  <si>
    <t>企業コード</t>
    <rPh sb="0" eb="2">
      <t>キギョウ</t>
    </rPh>
    <phoneticPr fontId="29"/>
  </si>
  <si>
    <t>部店コード</t>
    <rPh sb="0" eb="2">
      <t>ブテン</t>
    </rPh>
    <phoneticPr fontId="29"/>
  </si>
  <si>
    <t>顧客コード</t>
    <rPh sb="0" eb="2">
      <t>コキャク</t>
    </rPh>
    <phoneticPr fontId="29"/>
  </si>
  <si>
    <t>商品コード</t>
  </si>
  <si>
    <t>約定日</t>
  </si>
  <si>
    <t>ケース</t>
    <phoneticPr fontId="7"/>
  </si>
  <si>
    <t>実施</t>
    <phoneticPr fontId="7"/>
  </si>
  <si>
    <t>COMPANY_CD</t>
    <phoneticPr fontId="29"/>
  </si>
  <si>
    <t>BRANCH_CD</t>
    <phoneticPr fontId="29"/>
  </si>
  <si>
    <t>CUSTOMER_CD</t>
    <phoneticPr fontId="29"/>
  </si>
  <si>
    <t>NO</t>
    <phoneticPr fontId="7"/>
  </si>
  <si>
    <t>DELETE_FLG</t>
  </si>
  <si>
    <t>CREATE_DT</t>
  </si>
  <si>
    <t>CREATE_PRG_ID</t>
  </si>
  <si>
    <t>UPDATE_DT</t>
  </si>
  <si>
    <t>UPDATE_PRG_ID</t>
  </si>
  <si>
    <t>EXECUTION_D</t>
  </si>
  <si>
    <t>VALUE_D</t>
  </si>
  <si>
    <t>COMPANY_CD</t>
  </si>
  <si>
    <t>金</t>
    <rPh sb="0" eb="1">
      <t>キン</t>
    </rPh>
    <phoneticPr fontId="5"/>
  </si>
  <si>
    <t>N</t>
  </si>
  <si>
    <t>平均取得価額</t>
  </si>
  <si>
    <t>BASE_D</t>
  </si>
  <si>
    <t>基準日</t>
  </si>
  <si>
    <t>預り数量</t>
  </si>
  <si>
    <t>総投資額</t>
  </si>
  <si>
    <t>ログイン情報SEQ</t>
  </si>
  <si>
    <t>営業日管理</t>
  </si>
  <si>
    <t>TRADE_D</t>
  </si>
  <si>
    <t>NEXT_TRADE_D</t>
  </si>
  <si>
    <t>BT_BASE_D</t>
  </si>
  <si>
    <t>BT_TIME</t>
  </si>
  <si>
    <t>取引日</t>
  </si>
  <si>
    <t>前取引日</t>
  </si>
  <si>
    <t>翌取引日</t>
  </si>
  <si>
    <t>バッチ処理基準日</t>
  </si>
  <si>
    <t>バッチ処理時刻</t>
  </si>
  <si>
    <t>貴金属保護預り残高</t>
    <rPh sb="0" eb="3">
      <t>キキンゾク</t>
    </rPh>
    <rPh sb="3" eb="5">
      <t>ホゴ</t>
    </rPh>
    <rPh sb="5" eb="6">
      <t>アズカ</t>
    </rPh>
    <rPh sb="7" eb="9">
      <t>ザンダカ</t>
    </rPh>
    <phoneticPr fontId="5"/>
  </si>
  <si>
    <t>貴金属取引価格情報</t>
  </si>
  <si>
    <t>基準日（受渡日）</t>
    <rPh sb="0" eb="3">
      <t>キジュンビ</t>
    </rPh>
    <rPh sb="4" eb="7">
      <t>ウケワタシビ</t>
    </rPh>
    <phoneticPr fontId="29"/>
  </si>
  <si>
    <t>M_PM_BUSINESS_DATE</t>
    <phoneticPr fontId="5"/>
  </si>
  <si>
    <t>1530</t>
  </si>
  <si>
    <t>init</t>
  </si>
  <si>
    <t>BTP0130</t>
  </si>
  <si>
    <t>プラチナ</t>
    <phoneticPr fontId="5"/>
  </si>
  <si>
    <t>StgA1</t>
  </si>
  <si>
    <t>000070</t>
  </si>
  <si>
    <t>(NULL)</t>
  </si>
  <si>
    <t>BTP0090</t>
  </si>
  <si>
    <t>BRANCH_CD</t>
  </si>
  <si>
    <t>CUSTOMER_CD</t>
  </si>
  <si>
    <t>BASE_D</t>
    <phoneticPr fontId="29"/>
  </si>
  <si>
    <t>001</t>
  </si>
  <si>
    <t>T_PM_BALANCE</t>
  </si>
  <si>
    <t>貴金属保護預り残高</t>
  </si>
  <si>
    <t>COMMODITY_CD</t>
  </si>
  <si>
    <t>DEPOSIT_QUANTITY</t>
  </si>
  <si>
    <t>TOTAL_INVEST_AMOUNT</t>
  </si>
  <si>
    <t>AVERAGE_PRICE</t>
  </si>
  <si>
    <t>T_PM_TRADE_PRICE</t>
  </si>
  <si>
    <t>11</t>
  </si>
  <si>
    <t>12</t>
  </si>
  <si>
    <t>PRICE</t>
    <phoneticPr fontId="5"/>
  </si>
  <si>
    <t>価格</t>
    <rPh sb="0" eb="2">
      <t>カカク</t>
    </rPh>
    <phoneticPr fontId="5"/>
  </si>
  <si>
    <t xml:space="preserve">SELECT * FROM M_PM_BUSINESS_DATE WHERE DELETE_FLG='N' </t>
    <phoneticPr fontId="5"/>
  </si>
  <si>
    <t>前日成約価格</t>
    <rPh sb="0" eb="2">
      <t>ゼンジツ</t>
    </rPh>
    <rPh sb="2" eb="4">
      <t>セイヤク</t>
    </rPh>
    <rPh sb="4" eb="6">
      <t>カカク</t>
    </rPh>
    <phoneticPr fontId="5"/>
  </si>
  <si>
    <t>小売価格</t>
    <rPh sb="0" eb="2">
      <t>コウリ</t>
    </rPh>
    <rPh sb="2" eb="4">
      <t>カカク</t>
    </rPh>
    <phoneticPr fontId="5"/>
  </si>
  <si>
    <t>買取価格</t>
    <rPh sb="0" eb="2">
      <t>カイトリ</t>
    </rPh>
    <rPh sb="2" eb="4">
      <t>カカク</t>
    </rPh>
    <phoneticPr fontId="5"/>
  </si>
  <si>
    <t>銘柄</t>
    <rPh sb="0" eb="2">
      <t>メイガラ</t>
    </rPh>
    <phoneticPr fontId="5"/>
  </si>
  <si>
    <t>価格取得設定</t>
    <rPh sb="0" eb="2">
      <t>カカク</t>
    </rPh>
    <rPh sb="2" eb="4">
      <t>シュトク</t>
    </rPh>
    <rPh sb="4" eb="6">
      <t>セッテイ</t>
    </rPh>
    <phoneticPr fontId="5"/>
  </si>
  <si>
    <t>取引日</t>
    <rPh sb="0" eb="3">
      <t>トリヒキビ</t>
    </rPh>
    <phoneticPr fontId="29"/>
  </si>
  <si>
    <t>前取引日</t>
    <rPh sb="0" eb="1">
      <t>ゼン</t>
    </rPh>
    <rPh sb="1" eb="4">
      <t>トリヒキビ</t>
    </rPh>
    <phoneticPr fontId="29"/>
  </si>
  <si>
    <t>BASE_D</t>
    <phoneticPr fontId="29"/>
  </si>
  <si>
    <t>PREV_TRADE_D</t>
    <phoneticPr fontId="5"/>
  </si>
  <si>
    <t>PREV_TRADE_D</t>
    <phoneticPr fontId="5"/>
  </si>
  <si>
    <t>■価格情報</t>
    <rPh sb="1" eb="3">
      <t>カカク</t>
    </rPh>
    <rPh sb="3" eb="5">
      <t>ジョウホウ</t>
    </rPh>
    <phoneticPr fontId="5"/>
  </si>
  <si>
    <t>基準日</t>
    <phoneticPr fontId="5"/>
  </si>
  <si>
    <t>前営業日</t>
    <rPh sb="0" eb="1">
      <t>ゼン</t>
    </rPh>
    <rPh sb="1" eb="3">
      <t>エイギョウ</t>
    </rPh>
    <rPh sb="3" eb="4">
      <t>ビ</t>
    </rPh>
    <phoneticPr fontId="5"/>
  </si>
  <si>
    <t>SQL</t>
    <phoneticPr fontId="5"/>
  </si>
  <si>
    <t>プラチナ</t>
    <phoneticPr fontId="5"/>
  </si>
  <si>
    <t>売却中の数量</t>
    <rPh sb="0" eb="2">
      <t>バイキャク</t>
    </rPh>
    <rPh sb="2" eb="3">
      <t>チュウ</t>
    </rPh>
    <rPh sb="4" eb="6">
      <t>スウリョウ</t>
    </rPh>
    <phoneticPr fontId="5"/>
  </si>
  <si>
    <t>T_PM_ORDER</t>
  </si>
  <si>
    <t>貴金属注文情報</t>
  </si>
  <si>
    <t>COMPANY_CD</t>
    <phoneticPr fontId="5"/>
  </si>
  <si>
    <t>BRANCH_CD</t>
    <phoneticPr fontId="5"/>
  </si>
  <si>
    <t>CUSTOMER_CD</t>
    <phoneticPr fontId="5"/>
  </si>
  <si>
    <t>BULLION_QUANTITY</t>
    <phoneticPr fontId="5"/>
  </si>
  <si>
    <t>拘束中数量</t>
    <rPh sb="0" eb="2">
      <t>コウソク</t>
    </rPh>
    <rPh sb="2" eb="3">
      <t>チュウ</t>
    </rPh>
    <rPh sb="3" eb="5">
      <t>スウリョウ</t>
    </rPh>
    <phoneticPr fontId="5"/>
  </si>
  <si>
    <t>001</t>
    <phoneticPr fontId="5"/>
  </si>
  <si>
    <t>000070</t>
    <phoneticPr fontId="5"/>
  </si>
  <si>
    <t>前営業の
成約価格</t>
    <rPh sb="0" eb="1">
      <t>ゼン</t>
    </rPh>
    <rPh sb="1" eb="3">
      <t>エイギョウ</t>
    </rPh>
    <rPh sb="5" eb="7">
      <t>セイヤク</t>
    </rPh>
    <rPh sb="7" eb="9">
      <t>カカク</t>
    </rPh>
    <phoneticPr fontId="5"/>
  </si>
  <si>
    <t>出庫中の数量</t>
    <rPh sb="0" eb="2">
      <t>シュッコ</t>
    </rPh>
    <rPh sb="2" eb="3">
      <t>チュウ</t>
    </rPh>
    <rPh sb="4" eb="6">
      <t>スウリョウ</t>
    </rPh>
    <phoneticPr fontId="5"/>
  </si>
  <si>
    <t>LOGIN_INFO_SEQ</t>
    <phoneticPr fontId="5"/>
  </si>
  <si>
    <t>総投資額</t>
    <phoneticPr fontId="5"/>
  </si>
  <si>
    <t>資産状況（純金積立）</t>
    <rPh sb="0" eb="2">
      <t>シサン</t>
    </rPh>
    <rPh sb="2" eb="4">
      <t>ジョウキョウ</t>
    </rPh>
    <rPh sb="5" eb="7">
      <t>ジュンキン</t>
    </rPh>
    <rPh sb="7" eb="9">
      <t>ツミタテ</t>
    </rPh>
    <phoneticPr fontId="5"/>
  </si>
  <si>
    <t>ケースID</t>
    <phoneticPr fontId="7"/>
  </si>
  <si>
    <t>グローテック</t>
    <phoneticPr fontId="7"/>
  </si>
  <si>
    <t>1. テスト概要</t>
    <phoneticPr fontId="7"/>
  </si>
  <si>
    <t>資産状況（純金積立）画面が正常に動作することを確認する</t>
    <rPh sb="0" eb="2">
      <t>シサン</t>
    </rPh>
    <rPh sb="2" eb="4">
      <t>ジョウキョウ</t>
    </rPh>
    <rPh sb="5" eb="7">
      <t>ジュンキン</t>
    </rPh>
    <rPh sb="7" eb="9">
      <t>ツミタテ</t>
    </rPh>
    <rPh sb="10" eb="12">
      <t>ガメン</t>
    </rPh>
    <phoneticPr fontId="5"/>
  </si>
  <si>
    <t>・推奨環境</t>
    <rPh sb="1" eb="3">
      <t>スイショウ</t>
    </rPh>
    <rPh sb="3" eb="5">
      <t>カンキョウ</t>
    </rPh>
    <phoneticPr fontId="7"/>
  </si>
  <si>
    <t>Windows</t>
  </si>
  <si>
    <t>OS：　Windows7 SP1以降、Windows8.1、Windows10</t>
    <rPh sb="16" eb="18">
      <t>イコウ</t>
    </rPh>
    <phoneticPr fontId="7"/>
  </si>
  <si>
    <t>ブラウザ：　MicrosoftEdge、InternetExplorer11以降、FireFox最新版、Chrome最新版</t>
    <rPh sb="38" eb="40">
      <t>イコウ</t>
    </rPh>
    <rPh sb="48" eb="50">
      <t>サイシン</t>
    </rPh>
    <rPh sb="50" eb="51">
      <t>バン</t>
    </rPh>
    <rPh sb="58" eb="60">
      <t>サイシン</t>
    </rPh>
    <rPh sb="60" eb="61">
      <t>バン</t>
    </rPh>
    <phoneticPr fontId="7"/>
  </si>
  <si>
    <t>Mac</t>
  </si>
  <si>
    <t>OS：　Mac OS X 10.12、10.13、10.14</t>
  </si>
  <si>
    <t>ブラウザ：　Safari最新版、FireFox最新版、Chrome最新版</t>
    <rPh sb="12" eb="14">
      <t>サイシン</t>
    </rPh>
    <rPh sb="14" eb="15">
      <t>バン</t>
    </rPh>
    <rPh sb="23" eb="25">
      <t>サイシン</t>
    </rPh>
    <rPh sb="25" eb="26">
      <t>バン</t>
    </rPh>
    <rPh sb="33" eb="35">
      <t>サイシン</t>
    </rPh>
    <rPh sb="35" eb="36">
      <t>バン</t>
    </rPh>
    <phoneticPr fontId="7"/>
  </si>
  <si>
    <t>No.</t>
    <phoneticPr fontId="7"/>
  </si>
  <si>
    <t>ケースNo</t>
    <phoneticPr fontId="7"/>
  </si>
  <si>
    <t>1</t>
    <phoneticPr fontId="7"/>
  </si>
  <si>
    <t>純金積立画面遷移の確認</t>
    <rPh sb="0" eb="2">
      <t>ジュンキン</t>
    </rPh>
    <rPh sb="2" eb="4">
      <t>ツミタテ</t>
    </rPh>
    <rPh sb="4" eb="6">
      <t>ガメン</t>
    </rPh>
    <rPh sb="6" eb="8">
      <t>センイ</t>
    </rPh>
    <rPh sb="9" eb="11">
      <t>カクニン</t>
    </rPh>
    <phoneticPr fontId="5"/>
  </si>
  <si>
    <t>○</t>
    <phoneticPr fontId="7"/>
  </si>
  <si>
    <t>2</t>
    <phoneticPr fontId="7"/>
  </si>
  <si>
    <t>純金積立画面項目の確認</t>
    <rPh sb="0" eb="2">
      <t>ジュンキン</t>
    </rPh>
    <rPh sb="2" eb="4">
      <t>ツミタテ</t>
    </rPh>
    <rPh sb="4" eb="6">
      <t>ガメン</t>
    </rPh>
    <rPh sb="6" eb="8">
      <t>コウモク</t>
    </rPh>
    <rPh sb="9" eb="11">
      <t>カクニン</t>
    </rPh>
    <phoneticPr fontId="5"/>
  </si>
  <si>
    <t>3</t>
    <phoneticPr fontId="7"/>
  </si>
  <si>
    <t>純金積立データ取得および表示の確認</t>
    <rPh sb="0" eb="2">
      <t>ジュンキン</t>
    </rPh>
    <rPh sb="2" eb="4">
      <t>ツミタテ</t>
    </rPh>
    <rPh sb="7" eb="9">
      <t>シュトク</t>
    </rPh>
    <rPh sb="12" eb="14">
      <t>ヒョウジ</t>
    </rPh>
    <rPh sb="15" eb="17">
      <t>カクニン</t>
    </rPh>
    <phoneticPr fontId="5"/>
  </si>
  <si>
    <t>4.エビデンス</t>
    <phoneticPr fontId="7"/>
  </si>
  <si>
    <t>画面</t>
    <rPh sb="0" eb="2">
      <t>ガメン</t>
    </rPh>
    <phoneticPr fontId="5"/>
  </si>
  <si>
    <t>資産状況（純金積立）画面</t>
    <rPh sb="0" eb="2">
      <t>シサン</t>
    </rPh>
    <rPh sb="2" eb="4">
      <t>ジョウキョウ</t>
    </rPh>
    <rPh sb="5" eb="7">
      <t>ジュンキン</t>
    </rPh>
    <rPh sb="7" eb="9">
      <t>ツミタテ</t>
    </rPh>
    <rPh sb="10" eb="12">
      <t>ガメン</t>
    </rPh>
    <phoneticPr fontId="5"/>
  </si>
  <si>
    <t>DB</t>
    <phoneticPr fontId="5"/>
  </si>
  <si>
    <t>T_PM_BALANCE</t>
    <phoneticPr fontId="5"/>
  </si>
  <si>
    <t>T_PM_TRADE_PRICE</t>
    <phoneticPr fontId="5"/>
  </si>
  <si>
    <t>実行条件</t>
    <rPh sb="0" eb="2">
      <t>ジッコウ</t>
    </rPh>
    <rPh sb="2" eb="4">
      <t>ジョウケン</t>
    </rPh>
    <phoneticPr fontId="5"/>
  </si>
  <si>
    <t>ケース</t>
    <phoneticPr fontId="7"/>
  </si>
  <si>
    <t>-</t>
    <phoneticPr fontId="7"/>
  </si>
  <si>
    <t>NO</t>
    <phoneticPr fontId="7"/>
  </si>
  <si>
    <t>表示されている「資産状況」画面から「純金積立」ボタンをクリックする</t>
    <rPh sb="0" eb="2">
      <t>ヒョウジ</t>
    </rPh>
    <rPh sb="8" eb="10">
      <t>シサン</t>
    </rPh>
    <rPh sb="10" eb="12">
      <t>ジョウキョウ</t>
    </rPh>
    <rPh sb="13" eb="15">
      <t>ガメン</t>
    </rPh>
    <rPh sb="18" eb="22">
      <t>ジュンキンツミタテ</t>
    </rPh>
    <phoneticPr fontId="5"/>
  </si>
  <si>
    <t>「資産状況」の「純金積立]画面へ遷移すること。</t>
    <rPh sb="1" eb="3">
      <t>シサン</t>
    </rPh>
    <rPh sb="3" eb="5">
      <t>ジョウキョウ</t>
    </rPh>
    <rPh sb="8" eb="12">
      <t>ジュンキンツミタテ</t>
    </rPh>
    <rPh sb="13" eb="15">
      <t>ガメン</t>
    </rPh>
    <rPh sb="16" eb="18">
      <t>センイ</t>
    </rPh>
    <phoneticPr fontId="5"/>
  </si>
  <si>
    <t>表示されている「資産状況」画面から「店頭FX」ボタンをクリックしてから、「純金積立」ボタン押下する。</t>
    <rPh sb="0" eb="2">
      <t>ヒョウジ</t>
    </rPh>
    <rPh sb="8" eb="10">
      <t>シサン</t>
    </rPh>
    <rPh sb="10" eb="12">
      <t>ジョウキョウ</t>
    </rPh>
    <rPh sb="13" eb="15">
      <t>ガメン</t>
    </rPh>
    <rPh sb="18" eb="20">
      <t>テントウ</t>
    </rPh>
    <rPh sb="37" eb="41">
      <t>ジュンキンツミタテ</t>
    </rPh>
    <rPh sb="45" eb="47">
      <t>オウカ</t>
    </rPh>
    <phoneticPr fontId="5"/>
  </si>
  <si>
    <t>表示されている「資産状況」画面から「預り金」ボタンをクリックしてから、「純金積立」ボタン押下する。</t>
    <rPh sb="0" eb="2">
      <t>ヒョウジ</t>
    </rPh>
    <rPh sb="8" eb="10">
      <t>シサン</t>
    </rPh>
    <rPh sb="10" eb="12">
      <t>ジョウキョウ</t>
    </rPh>
    <rPh sb="13" eb="15">
      <t>ガメン</t>
    </rPh>
    <rPh sb="18" eb="19">
      <t>アズカ</t>
    </rPh>
    <rPh sb="20" eb="21">
      <t>キン</t>
    </rPh>
    <rPh sb="36" eb="40">
      <t>ジュンキンツミタテ</t>
    </rPh>
    <rPh sb="44" eb="46">
      <t>オウカ</t>
    </rPh>
    <phoneticPr fontId="5"/>
  </si>
  <si>
    <t>ケース</t>
    <phoneticPr fontId="7"/>
  </si>
  <si>
    <t>実施</t>
    <phoneticPr fontId="7"/>
  </si>
  <si>
    <t>入力形式/表示形式</t>
    <rPh sb="0" eb="2">
      <t>ニュウリョク</t>
    </rPh>
    <rPh sb="2" eb="4">
      <t>ケイシキ</t>
    </rPh>
    <rPh sb="5" eb="7">
      <t>ヒョウジ</t>
    </rPh>
    <rPh sb="7" eb="9">
      <t>ケイシキ</t>
    </rPh>
    <phoneticPr fontId="5"/>
  </si>
  <si>
    <t>配置</t>
    <phoneticPr fontId="5"/>
  </si>
  <si>
    <t>フォント</t>
    <phoneticPr fontId="5"/>
  </si>
  <si>
    <t>その他</t>
    <rPh sb="2" eb="3">
      <t>タ</t>
    </rPh>
    <phoneticPr fontId="5"/>
  </si>
  <si>
    <t>プラス</t>
    <phoneticPr fontId="5"/>
  </si>
  <si>
    <t>マイナス</t>
    <phoneticPr fontId="5"/>
  </si>
  <si>
    <t>NO</t>
    <phoneticPr fontId="7"/>
  </si>
  <si>
    <t>×</t>
  </si>
  <si>
    <t>タイトル</t>
    <phoneticPr fontId="5"/>
  </si>
  <si>
    <t>-</t>
    <phoneticPr fontId="5"/>
  </si>
  <si>
    <t>貴金属〔金・プラチナ保有一覧〕</t>
    <rPh sb="0" eb="3">
      <t>キキンゾク</t>
    </rPh>
    <rPh sb="4" eb="5">
      <t>キン</t>
    </rPh>
    <rPh sb="10" eb="12">
      <t>ホユウ</t>
    </rPh>
    <rPh sb="12" eb="14">
      <t>イチラン</t>
    </rPh>
    <phoneticPr fontId="5"/>
  </si>
  <si>
    <t>太字</t>
    <rPh sb="0" eb="2">
      <t>フトジ</t>
    </rPh>
    <phoneticPr fontId="5"/>
  </si>
  <si>
    <t>タイトルの名称表示が正しいであること。</t>
    <rPh sb="5" eb="7">
      <t>メイショウ</t>
    </rPh>
    <rPh sb="7" eb="9">
      <t>ヒョウジ</t>
    </rPh>
    <rPh sb="10" eb="11">
      <t>タダ</t>
    </rPh>
    <phoneticPr fontId="5"/>
  </si>
  <si>
    <t>評価損益合計</t>
    <rPh sb="0" eb="2">
      <t>ヒョウカ</t>
    </rPh>
    <rPh sb="2" eb="4">
      <t>ソンエキ</t>
    </rPh>
    <rPh sb="4" eb="6">
      <t>ゴウケイ</t>
    </rPh>
    <phoneticPr fontId="5"/>
  </si>
  <si>
    <t>##,###円</t>
    <rPh sb="6" eb="7">
      <t>エン</t>
    </rPh>
    <phoneticPr fontId="5"/>
  </si>
  <si>
    <t>0円</t>
    <rPh sb="1" eb="2">
      <t>エン</t>
    </rPh>
    <phoneticPr fontId="5"/>
  </si>
  <si>
    <t>-##,###円</t>
    <rPh sb="7" eb="8">
      <t>エン</t>
    </rPh>
    <phoneticPr fontId="5"/>
  </si>
  <si>
    <t>右寄せ</t>
    <rPh sb="0" eb="1">
      <t>ミギ</t>
    </rPh>
    <rPh sb="1" eb="2">
      <t>ヨ</t>
    </rPh>
    <phoneticPr fontId="5"/>
  </si>
  <si>
    <t>評価損益率</t>
    <rPh sb="0" eb="2">
      <t>ヒョウカ</t>
    </rPh>
    <rPh sb="2" eb="4">
      <t>ソンエキ</t>
    </rPh>
    <rPh sb="4" eb="5">
      <t>リツ</t>
    </rPh>
    <phoneticPr fontId="5"/>
  </si>
  <si>
    <t>#.##%</t>
    <phoneticPr fontId="5"/>
  </si>
  <si>
    <t>-#.##%</t>
    <phoneticPr fontId="5"/>
  </si>
  <si>
    <t>評価額合計</t>
    <rPh sb="0" eb="2">
      <t>ヒョウカ</t>
    </rPh>
    <rPh sb="2" eb="3">
      <t>ガク</t>
    </rPh>
    <rPh sb="3" eb="5">
      <t>ゴウケイ</t>
    </rPh>
    <phoneticPr fontId="5"/>
  </si>
  <si>
    <t>一覧</t>
    <rPh sb="0" eb="2">
      <t>イチラン</t>
    </rPh>
    <phoneticPr fontId="5"/>
  </si>
  <si>
    <t>-</t>
    <phoneticPr fontId="5"/>
  </si>
  <si>
    <t>中央</t>
    <rPh sb="0" eb="2">
      <t>チュウオウ</t>
    </rPh>
    <phoneticPr fontId="5"/>
  </si>
  <si>
    <t>サブタイトルの名称表示が正しいであること。</t>
    <rPh sb="7" eb="9">
      <t>メイショウ</t>
    </rPh>
    <rPh sb="9" eb="11">
      <t>ヒョウジ</t>
    </rPh>
    <rPh sb="12" eb="13">
      <t>タダ</t>
    </rPh>
    <phoneticPr fontId="5"/>
  </si>
  <si>
    <t>-</t>
    <phoneticPr fontId="5"/>
  </si>
  <si>
    <t>アイコン　+「金」で表示されていること</t>
    <rPh sb="7" eb="8">
      <t>キン</t>
    </rPh>
    <rPh sb="10" eb="12">
      <t>ヒョウジ</t>
    </rPh>
    <phoneticPr fontId="5"/>
  </si>
  <si>
    <t>プラチナ</t>
    <phoneticPr fontId="5"/>
  </si>
  <si>
    <t>アイコン　+「プラチナ」で表示されていること</t>
    <rPh sb="13" eb="15">
      <t>ヒョウジ</t>
    </rPh>
    <phoneticPr fontId="5"/>
  </si>
  <si>
    <t>保有グラム数（ｇ）</t>
    <rPh sb="0" eb="2">
      <t>ホユウ</t>
    </rPh>
    <rPh sb="5" eb="6">
      <t>スウ</t>
    </rPh>
    <phoneticPr fontId="5"/>
  </si>
  <si>
    <t>#,###.#####</t>
    <phoneticPr fontId="5"/>
  </si>
  <si>
    <t>平均取得単価（円）</t>
    <phoneticPr fontId="5"/>
  </si>
  <si>
    <t>#,###.##</t>
    <phoneticPr fontId="5"/>
  </si>
  <si>
    <t>買取価格(お客様の売却価格)（円）</t>
    <phoneticPr fontId="5"/>
  </si>
  <si>
    <t>#,###</t>
    <phoneticPr fontId="5"/>
  </si>
  <si>
    <t>評価額（円）</t>
    <phoneticPr fontId="5"/>
  </si>
  <si>
    <t>評価損益（円）</t>
    <phoneticPr fontId="5"/>
  </si>
  <si>
    <t>+#,###</t>
    <phoneticPr fontId="5"/>
  </si>
  <si>
    <t>-#,###</t>
    <phoneticPr fontId="5"/>
  </si>
  <si>
    <t>評価損益率(%)</t>
    <phoneticPr fontId="5"/>
  </si>
  <si>
    <t>■画面値取得元</t>
    <rPh sb="1" eb="3">
      <t>ガメン</t>
    </rPh>
    <rPh sb="3" eb="4">
      <t>アタイ</t>
    </rPh>
    <rPh sb="4" eb="6">
      <t>シュトク</t>
    </rPh>
    <rPh sb="6" eb="7">
      <t>モト</t>
    </rPh>
    <phoneticPr fontId="5"/>
  </si>
  <si>
    <t>②</t>
    <phoneticPr fontId="5"/>
  </si>
  <si>
    <t>③</t>
    <phoneticPr fontId="5"/>
  </si>
  <si>
    <t>④</t>
    <phoneticPr fontId="5"/>
  </si>
  <si>
    <t>⑤</t>
    <phoneticPr fontId="5"/>
  </si>
  <si>
    <t>⑥</t>
    <phoneticPr fontId="5"/>
  </si>
  <si>
    <t>⑦</t>
    <phoneticPr fontId="5"/>
  </si>
  <si>
    <t>⑧</t>
    <phoneticPr fontId="5"/>
  </si>
  <si>
    <t>⑨</t>
    <phoneticPr fontId="5"/>
  </si>
  <si>
    <t>貴金属〔金・プラチナ保有一覧〕</t>
    <phoneticPr fontId="5"/>
  </si>
  <si>
    <t>①</t>
    <phoneticPr fontId="5"/>
  </si>
  <si>
    <t>評価損益合計 = 金、プラチナ明細の評価損益（円）の合計値</t>
    <phoneticPr fontId="5"/>
  </si>
  <si>
    <t>評価額合計 = 金、プラチナ明細の評価額（円）の合計値</t>
    <phoneticPr fontId="5"/>
  </si>
  <si>
    <t>保有グラム数（g）=  T_PM_BALANCE.DEPOSIT_QUANTITY</t>
    <phoneticPr fontId="5"/>
  </si>
  <si>
    <t>平均取得単価（円）= T_PM_BALANCE.VERAGE_PRICE</t>
    <phoneticPr fontId="5"/>
  </si>
  <si>
    <t>買取価格 = 現在の買取価格</t>
    <rPh sb="7" eb="9">
      <t>ゲンザイ</t>
    </rPh>
    <rPh sb="10" eb="12">
      <t>カイトリ</t>
    </rPh>
    <rPh sb="12" eb="14">
      <t>カカク</t>
    </rPh>
    <phoneticPr fontId="5"/>
  </si>
  <si>
    <t>評価額（円）= ④ * ⑥</t>
    <phoneticPr fontId="5"/>
  </si>
  <si>
    <t>①評価損益合計：</t>
    <rPh sb="1" eb="3">
      <t>ヒョウカ</t>
    </rPh>
    <rPh sb="3" eb="5">
      <t>ソンエキ</t>
    </rPh>
    <rPh sb="5" eb="7">
      <t>ゴウケイ</t>
    </rPh>
    <phoneticPr fontId="5"/>
  </si>
  <si>
    <t>②評価損益率：</t>
    <rPh sb="1" eb="3">
      <t>ヒョウカ</t>
    </rPh>
    <rPh sb="3" eb="5">
      <t>ソンエキ</t>
    </rPh>
    <rPh sb="5" eb="6">
      <t>リツ</t>
    </rPh>
    <phoneticPr fontId="5"/>
  </si>
  <si>
    <t>評価損益率 = ① / T_PM_BALANCE.TOTAL_INVEST_AMOUNT (総投資額)*100</t>
    <phoneticPr fontId="5"/>
  </si>
  <si>
    <t>③評価額合計:</t>
    <rPh sb="1" eb="3">
      <t>ヒョウカ</t>
    </rPh>
    <rPh sb="3" eb="4">
      <t>ガク</t>
    </rPh>
    <rPh sb="4" eb="6">
      <t>ゴウケイ</t>
    </rPh>
    <phoneticPr fontId="5"/>
  </si>
  <si>
    <t>④保有グラム数（ｇ）</t>
    <rPh sb="1" eb="3">
      <t>ホユウ</t>
    </rPh>
    <rPh sb="6" eb="7">
      <t>カズ</t>
    </rPh>
    <phoneticPr fontId="5"/>
  </si>
  <si>
    <t>⑤平均取単価（円）</t>
    <rPh sb="1" eb="3">
      <t>ヘイキン</t>
    </rPh>
    <rPh sb="3" eb="4">
      <t>トリ</t>
    </rPh>
    <rPh sb="4" eb="6">
      <t>タンカ</t>
    </rPh>
    <rPh sb="7" eb="8">
      <t>エン</t>
    </rPh>
    <phoneticPr fontId="5"/>
  </si>
  <si>
    <t>⑥買取価格</t>
    <rPh sb="1" eb="3">
      <t>カイトリ</t>
    </rPh>
    <rPh sb="3" eb="5">
      <t>カカク</t>
    </rPh>
    <phoneticPr fontId="5"/>
  </si>
  <si>
    <t>⑦評価額（円）</t>
    <rPh sb="1" eb="3">
      <t>ヒョウカ</t>
    </rPh>
    <rPh sb="3" eb="4">
      <t>ガク</t>
    </rPh>
    <rPh sb="5" eb="6">
      <t>エン</t>
    </rPh>
    <phoneticPr fontId="5"/>
  </si>
  <si>
    <t>⑧評価損益（円）</t>
    <rPh sb="1" eb="3">
      <t>ヒョウカ</t>
    </rPh>
    <rPh sb="3" eb="5">
      <t>ソンエキ</t>
    </rPh>
    <rPh sb="6" eb="7">
      <t>エン</t>
    </rPh>
    <phoneticPr fontId="5"/>
  </si>
  <si>
    <t>評価損益（円）=(⑥-⑤)*④</t>
    <phoneticPr fontId="5"/>
  </si>
  <si>
    <t>⑨評価損益率（％）</t>
    <rPh sb="1" eb="3">
      <t>ヒョウカ</t>
    </rPh>
    <rPh sb="3" eb="5">
      <t>ソンエキ</t>
    </rPh>
    <rPh sb="5" eb="6">
      <t>リツ</t>
    </rPh>
    <phoneticPr fontId="5"/>
  </si>
  <si>
    <t>OK</t>
  </si>
  <si>
    <t>エン</t>
    <phoneticPr fontId="5"/>
  </si>
  <si>
    <t>少数点5桁まで表示</t>
    <rPh sb="0" eb="2">
      <t>ショウスウ</t>
    </rPh>
    <rPh sb="2" eb="3">
      <t>テン</t>
    </rPh>
    <rPh sb="4" eb="5">
      <t>ケタ</t>
    </rPh>
    <rPh sb="7" eb="9">
      <t>ヒョウジ</t>
    </rPh>
    <phoneticPr fontId="5"/>
  </si>
  <si>
    <t>-</t>
    <phoneticPr fontId="5"/>
  </si>
  <si>
    <t>-</t>
    <phoneticPr fontId="5"/>
  </si>
  <si>
    <t>+0</t>
    <phoneticPr fontId="5"/>
  </si>
  <si>
    <t>+0.00</t>
    <phoneticPr fontId="5"/>
  </si>
  <si>
    <t>-##.##</t>
    <phoneticPr fontId="5"/>
  </si>
  <si>
    <t>+##.##</t>
    <phoneticPr fontId="5"/>
  </si>
  <si>
    <t>エン</t>
    <phoneticPr fontId="5"/>
  </si>
  <si>
    <t>想定結果</t>
    <rPh sb="0" eb="2">
      <t>ソウテイ</t>
    </rPh>
    <rPh sb="2" eb="4">
      <t>ケッカ</t>
    </rPh>
    <phoneticPr fontId="5"/>
  </si>
  <si>
    <t>買取価格以外は0で表示されていること。</t>
    <rPh sb="0" eb="2">
      <t>カイトリ</t>
    </rPh>
    <rPh sb="2" eb="4">
      <t>カカク</t>
    </rPh>
    <rPh sb="4" eb="6">
      <t>イガイ</t>
    </rPh>
    <rPh sb="9" eb="11">
      <t>ヒョウジ</t>
    </rPh>
    <phoneticPr fontId="5"/>
  </si>
  <si>
    <t>新規</t>
    <rPh sb="0" eb="2">
      <t>シンキ</t>
    </rPh>
    <phoneticPr fontId="5"/>
  </si>
  <si>
    <t>既存</t>
    <rPh sb="0" eb="2">
      <t>キゾン</t>
    </rPh>
    <phoneticPr fontId="5"/>
  </si>
  <si>
    <t>口座開設
状況</t>
    <rPh sb="0" eb="2">
      <t>コウザ</t>
    </rPh>
    <rPh sb="2" eb="4">
      <t>カイセツ</t>
    </rPh>
    <rPh sb="5" eb="7">
      <t>ジョウキョウ</t>
    </rPh>
    <phoneticPr fontId="5"/>
  </si>
  <si>
    <t>銘柄</t>
    <rPh sb="0" eb="2">
      <t>メイガラ</t>
    </rPh>
    <phoneticPr fontId="5"/>
  </si>
  <si>
    <t>金</t>
    <rPh sb="0" eb="1">
      <t>キン</t>
    </rPh>
    <phoneticPr fontId="5"/>
  </si>
  <si>
    <t>プラチナ</t>
    <phoneticPr fontId="5"/>
  </si>
  <si>
    <t>○</t>
    <phoneticPr fontId="5"/>
  </si>
  <si>
    <t>○</t>
    <phoneticPr fontId="5"/>
  </si>
  <si>
    <t>OK</t>
    <phoneticPr fontId="5"/>
  </si>
  <si>
    <t>OK</t>
    <phoneticPr fontId="5"/>
  </si>
  <si>
    <t>-</t>
    <phoneticPr fontId="5"/>
  </si>
  <si>
    <t>買取価格以外は0で表示されていること。</t>
    <phoneticPr fontId="5"/>
  </si>
  <si>
    <t>操作</t>
    <rPh sb="0" eb="2">
      <t>ソウサ</t>
    </rPh>
    <phoneticPr fontId="5"/>
  </si>
  <si>
    <t>スポット注文画面で買注文する、未約定の場合</t>
    <rPh sb="9" eb="10">
      <t>カ</t>
    </rPh>
    <phoneticPr fontId="5"/>
  </si>
  <si>
    <t>上記注文を約定させる</t>
    <rPh sb="0" eb="2">
      <t>ジョウキ</t>
    </rPh>
    <rPh sb="2" eb="4">
      <t>チュウモン</t>
    </rPh>
    <rPh sb="5" eb="7">
      <t>ヤクジョウ</t>
    </rPh>
    <phoneticPr fontId="5"/>
  </si>
  <si>
    <t>表示されている値は右記記載している公式で計算されていること。</t>
    <rPh sb="0" eb="2">
      <t>ヒョウジ</t>
    </rPh>
    <rPh sb="7" eb="8">
      <t>アタイ</t>
    </rPh>
    <rPh sb="9" eb="10">
      <t>ミギ</t>
    </rPh>
    <rPh sb="10" eb="11">
      <t>キ</t>
    </rPh>
    <rPh sb="11" eb="13">
      <t>キサイ</t>
    </rPh>
    <rPh sb="17" eb="19">
      <t>コウシキ</t>
    </rPh>
    <rPh sb="20" eb="22">
      <t>ケイサン</t>
    </rPh>
    <phoneticPr fontId="5"/>
  </si>
  <si>
    <t>BTP0060</t>
  </si>
  <si>
    <t>金の残高は０の場合</t>
    <rPh sb="0" eb="1">
      <t>キン</t>
    </rPh>
    <rPh sb="2" eb="4">
      <t>ザンダカ</t>
    </rPh>
    <rPh sb="7" eb="9">
      <t>バアイ</t>
    </rPh>
    <phoneticPr fontId="5"/>
  </si>
  <si>
    <t>プラチナの残高は０の場合</t>
    <rPh sb="5" eb="7">
      <t>ザンダカ</t>
    </rPh>
    <rPh sb="10" eb="12">
      <t>バアイ</t>
    </rPh>
    <phoneticPr fontId="5"/>
  </si>
  <si>
    <t>保有数量から一部数量を売却する</t>
    <rPh sb="0" eb="2">
      <t>ホユウ</t>
    </rPh>
    <rPh sb="2" eb="4">
      <t>スウリョウ</t>
    </rPh>
    <rPh sb="6" eb="8">
      <t>イチブ</t>
    </rPh>
    <rPh sb="8" eb="10">
      <t>スウリョウ</t>
    </rPh>
    <rPh sb="11" eb="13">
      <t>バイキャク</t>
    </rPh>
    <phoneticPr fontId="5"/>
  </si>
  <si>
    <t>保有数量から一部数量を売却する（売却中）</t>
    <rPh sb="0" eb="2">
      <t>ホユウ</t>
    </rPh>
    <rPh sb="2" eb="4">
      <t>スウリョウ</t>
    </rPh>
    <rPh sb="6" eb="8">
      <t>イチブ</t>
    </rPh>
    <rPh sb="8" eb="10">
      <t>スウリョウ</t>
    </rPh>
    <rPh sb="11" eb="13">
      <t>バイキャク</t>
    </rPh>
    <rPh sb="16" eb="18">
      <t>バイキャク</t>
    </rPh>
    <rPh sb="18" eb="19">
      <t>チュウ</t>
    </rPh>
    <phoneticPr fontId="5"/>
  </si>
  <si>
    <t>評価損益率(%) = (⑥-⑤)*④ / T_PM_BALANCE.TOTAL_INVEST_AMOUNT (総投資額) * 100</t>
    <phoneticPr fontId="5"/>
  </si>
  <si>
    <t>NG</t>
  </si>
  <si>
    <t>資産状況と売却前の値は同じであること。</t>
    <rPh sb="0" eb="2">
      <t>シサン</t>
    </rPh>
    <rPh sb="2" eb="4">
      <t>ジョウキョウ</t>
    </rPh>
    <rPh sb="5" eb="7">
      <t>バイキャク</t>
    </rPh>
    <rPh sb="7" eb="8">
      <t>マエ</t>
    </rPh>
    <rPh sb="9" eb="10">
      <t>アタイ</t>
    </rPh>
    <rPh sb="11" eb="12">
      <t>オナ</t>
    </rPh>
    <phoneticPr fontId="5"/>
  </si>
  <si>
    <t>純金積立_遷移確認</t>
    <phoneticPr fontId="7"/>
  </si>
  <si>
    <t>純金積立_画面確認</t>
    <phoneticPr fontId="5"/>
  </si>
  <si>
    <t>価格取得</t>
    <phoneticPr fontId="5"/>
  </si>
  <si>
    <t>価格取得_Data</t>
    <phoneticPr fontId="5"/>
  </si>
  <si>
    <t>資産状況純金積立</t>
  </si>
  <si>
    <t>資産状況純金積立_Data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</si>
</sst>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4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yyyy/mm/dd;@"/>
    <numFmt numFmtId="177" formatCode="0.00_);[Red]\(0.00\)"/>
    <numFmt numFmtId="178" formatCode="&quot;最&quot;&quot;終&quot;&quot;更&quot;&quot;新&quot;&quot;日&quot;\ yyyy&quot;年&quot;mm&quot;月&quot;dd&quot;日&quot;"/>
    <numFmt numFmtId="179" formatCode="0.00_ "/>
    <numFmt numFmtId="180" formatCode="0.0%"/>
    <numFmt numFmtId="181" formatCode="yyyy/mm/dd"/>
    <numFmt numFmtId="182" formatCode="0#"/>
    <numFmt numFmtId="185" formatCode="&quot;¥&quot;#,##0_);[Red]\(&quot;¥&quot;#,##0\)"/>
    <numFmt numFmtId="186" formatCode="yyyy/m/d\ h:mm;@"/>
    <numFmt numFmtId="187" formatCode="&quot;$&quot;#,##0.00;[Red]&quot;$&quot;\-#,##0.00"/>
    <numFmt numFmtId="188" formatCode="#,##0.0_ "/>
    <numFmt numFmtId="189" formatCode="_-* #,##0\ _E_s_c_._-;\-* #,##0\ _E_s_c_._-;_-* &quot;-&quot;\ _E_s_c_._-;_-@_-"/>
    <numFmt numFmtId="190" formatCode="0_);[Red]\(0\)"/>
    <numFmt numFmtId="191" formatCode="#,##0;&quot;¥&quot;&quot;¥&quot;\-#,##0;&quot;-&quot;"/>
    <numFmt numFmtId="192" formatCode="#,##0;\-#,##0;&quot;-&quot;"/>
    <numFmt numFmtId="193" formatCode="0.0%;[Red]\(0.0%\)"/>
    <numFmt numFmtId="194" formatCode="0%;[Red]\(0%\)"/>
    <numFmt numFmtId="195" formatCode="0.0%;\(0.0%\)"/>
    <numFmt numFmtId="196" formatCode="&quot;   &quot;@"/>
    <numFmt numFmtId="197" formatCode="&quot;$&quot;#,##0;\-&quot;$&quot;#,##0"/>
    <numFmt numFmtId="198" formatCode="_(* #,##0_);_(* \(#,##0\);_(* &quot;-&quot;_)"/>
    <numFmt numFmtId="199" formatCode="General_)"/>
    <numFmt numFmtId="200" formatCode="_(* #,##0_);_(* \(#,##0\);_(* &quot;-&quot;_);_(@_)"/>
    <numFmt numFmtId="201" formatCode="#,##0.0_);\(#,##0.0\)"/>
    <numFmt numFmtId="202" formatCode="_-* #,##0.00_-;\-* #,##0.00_-;_-* &quot;-&quot;??_-;_-@_-"/>
    <numFmt numFmtId="203" formatCode="&quot;$&quot;#,##0_);[Red]\(&quot;$&quot;#,##0\)"/>
    <numFmt numFmtId="204" formatCode="_(&quot;$&quot;* #,##0_);_(&quot;$&quot;* \(#,##0\);_(&quot;$&quot;* &quot;-&quot;_);_(@_)"/>
    <numFmt numFmtId="205" formatCode="_-&quot;｣&quot;* #,##0_-;\-&quot;｣&quot;* #,##0_-;_-&quot;｣&quot;* &quot;-&quot;_-;_-@_-"/>
    <numFmt numFmtId="206" formatCode="&quot;$&quot;#,##0_);\(&quot;$&quot;#,##0\)"/>
    <numFmt numFmtId="207" formatCode="&quot;$&quot;#,##0.00_);\(&quot;$&quot;#,##0.00\)"/>
    <numFmt numFmtId="208" formatCode="_-&quot;$&quot;* #,##0.00_-;\-&quot;$&quot;* #,##0.00_-;_-&quot;$&quot;* &quot;-&quot;??_-;_-@_-"/>
    <numFmt numFmtId="209" formatCode="_(&quot;$&quot;* #,##0.0_);_(&quot;$&quot;* \(#,##0.0\);_(&quot;$&quot;* &quot;-&quot;??_);_(@_)"/>
    <numFmt numFmtId="210" formatCode="&quot;$&quot;#,##0;[Red]\-&quot;$&quot;#,##0"/>
    <numFmt numFmtId="211" formatCode="&quot;$&quot;#,##0.00;[Red]\-&quot;$&quot;#,##0.00"/>
    <numFmt numFmtId="212" formatCode="0.00000"/>
    <numFmt numFmtId="213" formatCode="0.00_)"/>
    <numFmt numFmtId="214" formatCode="_(* #,##0.0_);_(* \(#,##0.0\);_(* &quot;-&quot;??_);_(@_)"/>
    <numFmt numFmtId="215" formatCode="&quot;$&quot;0,000"/>
    <numFmt numFmtId="216" formatCode="_-* #,##0.00\ &quot;F&quot;_-;\-* #,##0.00\ &quot;F&quot;_-;_-* &quot;-&quot;??\ &quot;F&quot;_-;_-@_-"/>
    <numFmt numFmtId="217" formatCode="_(* #,##0.0000_);_(* \(#,##0.0000\);_(* &quot;-&quot;??_);_(@_)"/>
    <numFmt numFmtId="218" formatCode="_(* #,##0,_);_(* \(#,##0,\);_(* &quot;-&quot;_)"/>
    <numFmt numFmtId="219" formatCode=";;;"/>
    <numFmt numFmtId="220" formatCode="#,###"/>
    <numFmt numFmtId="221" formatCode="#,##0;[Red]\-#,##0;#"/>
    <numFmt numFmtId="222" formatCode="&quot;¥&quot;#,##0.00;\-&quot;¥&quot;#,##0.00"/>
    <numFmt numFmtId="223" formatCode="_-* #,##0_-;\-* #,##0_-;_-* &quot;-&quot;_-;_-@_-"/>
    <numFmt numFmtId="224" formatCode="#,##0.0&quot;人月&quot;"/>
    <numFmt numFmtId="225" formatCode="#,##0&quot; &quot;;[Red]&quot;▲&quot;#,##0&quot; &quot;"/>
    <numFmt numFmtId="228" formatCode="#,##0.00000;[Red]\-#,##0.00000"/>
    <numFmt numFmtId="229" formatCode="#,##0&quot;円&quot;;[Red]\-#,##0&quot;円&quot;"/>
  </numFmts>
  <fonts count="226">
    <font>
      <sz val="11"/>
      <color theme="1"/>
      <name val="ＭＳ Ｐ明朝"/>
      <family val="1"/>
      <charset val="128"/>
    </font>
    <font>
      <sz val="11"/>
      <color theme="1"/>
      <name val="ＭＳ Ｐ明朝"/>
      <family val="2"/>
      <charset val="128"/>
    </font>
    <font>
      <sz val="11"/>
      <color theme="1"/>
      <name val="ＭＳ Ｐ明朝"/>
      <family val="2"/>
      <charset val="128"/>
    </font>
    <font>
      <sz val="11"/>
      <color theme="1"/>
      <name val="ＭＳ Ｐ明朝"/>
      <family val="2"/>
      <charset val="128"/>
    </font>
    <font>
      <sz val="11"/>
      <color theme="1"/>
      <name val="ＭＳ Ｐ明朝"/>
      <family val="2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name val="ＭＳ 明朝"/>
      <family val="1"/>
      <charset val="128"/>
    </font>
    <font>
      <sz val="11"/>
      <name val="ＭＳ 明朝"/>
      <family val="1"/>
      <charset val="128"/>
    </font>
    <font>
      <sz val="10"/>
      <name val="ＭＳ 明朝"/>
      <family val="1"/>
      <charset val="128"/>
    </font>
    <font>
      <sz val="9"/>
      <color rgb="FFFF0000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9"/>
      <color theme="1"/>
      <name val="ＭＳ 明朝"/>
      <family val="1"/>
      <charset val="128"/>
    </font>
    <font>
      <b/>
      <sz val="9"/>
      <name val="ＭＳ 明朝"/>
      <family val="1"/>
      <charset val="128"/>
    </font>
    <font>
      <strike/>
      <sz val="9"/>
      <name val="ＭＳ 明朝"/>
      <family val="1"/>
      <charset val="128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6"/>
      <name val="ＭＳ 明朝"/>
      <family val="1"/>
      <charset val="128"/>
    </font>
    <font>
      <sz val="20"/>
      <name val="ＭＳ 明朝"/>
      <family val="1"/>
      <charset val="128"/>
    </font>
    <font>
      <sz val="13"/>
      <name val="ＭＳ 明朝"/>
      <family val="1"/>
      <charset val="128"/>
    </font>
    <font>
      <sz val="9"/>
      <color indexed="8"/>
      <name val="ＭＳ 明朝"/>
      <family val="1"/>
      <charset val="128"/>
    </font>
    <font>
      <sz val="9"/>
      <color rgb="FF000000"/>
      <name val="ＭＳ Ｐ明朝"/>
      <family val="1"/>
      <charset val="128"/>
    </font>
    <font>
      <sz val="11"/>
      <color rgb="FF9C0006"/>
      <name val="ＭＳ Ｐ明朝"/>
      <family val="2"/>
      <charset val="128"/>
    </font>
    <font>
      <sz val="11"/>
      <color theme="0"/>
      <name val="ＭＳ Ｐ明朝"/>
      <family val="2"/>
      <charset val="128"/>
    </font>
    <font>
      <sz val="11"/>
      <color theme="0"/>
      <name val="ＭＳ 明朝"/>
      <family val="1"/>
      <charset val="128"/>
    </font>
    <font>
      <sz val="6"/>
      <name val="ＭＳ Ｐ明朝"/>
      <family val="2"/>
      <charset val="128"/>
    </font>
    <font>
      <b/>
      <sz val="11"/>
      <color theme="1"/>
      <name val="ＭＳ 明朝"/>
      <family val="1"/>
      <charset val="128"/>
    </font>
    <font>
      <b/>
      <sz val="11"/>
      <color rgb="FFFF0000"/>
      <name val="ＭＳ 明朝"/>
      <family val="1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b/>
      <sz val="11"/>
      <color theme="0"/>
      <name val="ＭＳ 明朝"/>
      <family val="1"/>
      <charset val="128"/>
    </font>
    <font>
      <sz val="10"/>
      <color indexed="8"/>
      <name val="Arial"/>
      <family val="2"/>
    </font>
    <font>
      <u/>
      <sz val="11"/>
      <color theme="10"/>
      <name val="ＭＳ Ｐ明朝"/>
      <family val="1"/>
      <charset val="128"/>
    </font>
    <font>
      <u/>
      <sz val="9"/>
      <color theme="10"/>
      <name val="ＭＳ 明朝"/>
      <family val="1"/>
      <charset val="128"/>
    </font>
    <font>
      <b/>
      <sz val="11"/>
      <color theme="1"/>
      <name val="ＭＳ Ｐ明朝"/>
      <family val="1"/>
      <charset val="128"/>
    </font>
    <font>
      <sz val="10"/>
      <color indexed="8"/>
      <name val="メイリオ"/>
      <family val="3"/>
      <charset val="128"/>
    </font>
    <font>
      <b/>
      <sz val="11"/>
      <name val="ＭＳ 明朝"/>
      <family val="1"/>
      <charset val="128"/>
    </font>
    <font>
      <sz val="11"/>
      <color theme="1"/>
      <name val="ＭＳ Ｐ明朝"/>
      <family val="1"/>
      <charset val="128"/>
    </font>
    <font>
      <sz val="9"/>
      <name val="ＭＳ Ｐ明朝"/>
      <family val="1"/>
      <charset val="128"/>
    </font>
    <font>
      <sz val="11"/>
      <name val="ＭＳ ゴシック"/>
      <family val="3"/>
      <charset val="128"/>
    </font>
    <font>
      <sz val="10"/>
      <color indexed="8"/>
      <name val="MS Sans Serif"/>
      <family val="2"/>
    </font>
    <font>
      <sz val="11"/>
      <name val="明朝"/>
      <family val="1"/>
      <charset val="128"/>
    </font>
    <font>
      <sz val="12"/>
      <name val="Times New Roman"/>
      <family val="1"/>
    </font>
    <font>
      <u/>
      <sz val="8.25"/>
      <color indexed="36"/>
      <name val="lr oSVbN"/>
      <family val="3"/>
    </font>
    <font>
      <u/>
      <sz val="11"/>
      <color indexed="36"/>
      <name val="lr oSVbN"/>
      <family val="3"/>
    </font>
    <font>
      <u/>
      <sz val="8.25"/>
      <color indexed="12"/>
      <name val="lr oSVbN"/>
      <family val="3"/>
    </font>
    <font>
      <sz val="11"/>
      <name val="lr ¾©"/>
      <family val="2"/>
    </font>
    <font>
      <sz val="13"/>
      <name val="Tms Rmn"/>
      <family val="1"/>
    </font>
    <font>
      <sz val="11"/>
      <name val="標準明朝"/>
      <family val="1"/>
      <charset val="128"/>
    </font>
    <font>
      <sz val="14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맑은 고딕"/>
      <family val="2"/>
    </font>
    <font>
      <sz val="10"/>
      <color indexed="9"/>
      <name val="Arial"/>
      <family val="2"/>
    </font>
    <font>
      <sz val="11"/>
      <color indexed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1"/>
      <color indexed="9"/>
      <name val="맑은 고딕"/>
      <family val="2"/>
    </font>
    <font>
      <sz val="18"/>
      <name val="明朝"/>
      <family val="1"/>
      <charset val="128"/>
    </font>
    <font>
      <sz val="8"/>
      <name val="Times New Roman"/>
      <family val="1"/>
    </font>
    <font>
      <sz val="10"/>
      <color indexed="20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sz val="10"/>
      <name val="ＭＳ ゴシック"/>
      <family val="3"/>
      <charset val="128"/>
    </font>
    <font>
      <sz val="10"/>
      <name val="Helv"/>
      <family val="2"/>
    </font>
    <font>
      <b/>
      <sz val="10"/>
      <color indexed="52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color indexed="9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3"/>
      <name val="Tms Rmn"/>
      <family val="1"/>
    </font>
    <font>
      <b/>
      <sz val="12"/>
      <name val="Helv"/>
      <family val="2"/>
    </font>
    <font>
      <sz val="12"/>
      <name val="Helv"/>
      <family val="2"/>
    </font>
    <font>
      <sz val="10"/>
      <name val="Geneva"/>
      <family val="2"/>
    </font>
    <font>
      <sz val="12"/>
      <name val="Arial"/>
      <family val="2"/>
    </font>
    <font>
      <sz val="10"/>
      <name val="Arial"/>
      <family val="2"/>
    </font>
    <font>
      <sz val="9"/>
      <name val="Times New Roman"/>
      <family val="1"/>
    </font>
    <font>
      <i/>
      <sz val="10"/>
      <color indexed="23"/>
      <name val="Arial"/>
      <family val="2"/>
    </font>
    <font>
      <i/>
      <sz val="11"/>
      <color indexed="23"/>
      <name val="ＭＳ Ｐゴシック"/>
      <family val="3"/>
      <charset val="128"/>
    </font>
    <font>
      <sz val="14"/>
      <name val="明朝"/>
      <family val="1"/>
      <charset val="128"/>
    </font>
    <font>
      <sz val="10"/>
      <name val="Times New Roman"/>
      <family val="1"/>
    </font>
    <font>
      <sz val="10"/>
      <color indexed="17"/>
      <name val="Arial"/>
      <family val="2"/>
    </font>
    <font>
      <sz val="11"/>
      <color indexed="17"/>
      <name val="ＭＳ Ｐゴシック"/>
      <family val="3"/>
      <charset val="128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1"/>
      <name val="Arial"/>
      <family val="2"/>
    </font>
    <font>
      <b/>
      <sz val="12"/>
      <name val="Arial"/>
      <family val="2"/>
    </font>
    <font>
      <b/>
      <sz val="15"/>
      <color indexed="56"/>
      <name val="Arial"/>
      <family val="2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Arial"/>
      <family val="2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Arial"/>
      <family val="2"/>
    </font>
    <font>
      <b/>
      <sz val="11"/>
      <color indexed="56"/>
      <name val="ＭＳ Ｐゴシック"/>
      <family val="3"/>
      <charset val="128"/>
    </font>
    <font>
      <u/>
      <sz val="8"/>
      <color indexed="12"/>
      <name val="Times New Roman"/>
      <family val="1"/>
    </font>
    <font>
      <sz val="10"/>
      <color indexed="62"/>
      <name val="Arial"/>
      <family val="2"/>
    </font>
    <font>
      <sz val="11"/>
      <color indexed="62"/>
      <name val="ＭＳ Ｐゴシック"/>
      <family val="3"/>
      <charset val="128"/>
    </font>
    <font>
      <sz val="10"/>
      <color indexed="52"/>
      <name val="Arial"/>
      <family val="2"/>
    </font>
    <font>
      <sz val="11"/>
      <color indexed="52"/>
      <name val="ＭＳ Ｐゴシック"/>
      <family val="3"/>
      <charset val="128"/>
    </font>
    <font>
      <sz val="10"/>
      <color indexed="60"/>
      <name val="Arial"/>
      <family val="2"/>
    </font>
    <font>
      <sz val="11"/>
      <color indexed="60"/>
      <name val="ＭＳ Ｐゴシック"/>
      <family val="3"/>
      <charset val="128"/>
    </font>
    <font>
      <sz val="7"/>
      <name val="Small Fonts"/>
      <family val="3"/>
      <charset val="128"/>
    </font>
    <font>
      <b/>
      <i/>
      <sz val="16"/>
      <name val="Helv"/>
      <family val="2"/>
    </font>
    <font>
      <sz val="11"/>
      <color indexed="8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ＭＳ Ｐゴシック"/>
      <family val="3"/>
      <charset val="128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b/>
      <sz val="11"/>
      <color indexed="8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b/>
      <sz val="18"/>
      <color indexed="3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0"/>
      <color indexed="9"/>
      <name val="ＭＳ Ｐゴシック"/>
      <family val="3"/>
      <charset val="128"/>
    </font>
    <font>
      <sz val="9"/>
      <name val="ＭＳ ゴシック"/>
      <family val="3"/>
      <charset val="128"/>
    </font>
    <font>
      <sz val="9"/>
      <color indexed="60"/>
      <name val="ＭＳ Ｐゴシック"/>
      <family val="3"/>
      <charset val="128"/>
    </font>
    <font>
      <sz val="10"/>
      <color indexed="60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u/>
      <sz val="9"/>
      <color theme="10"/>
      <name val="ＭＳ Ｐ明朝"/>
      <family val="2"/>
      <charset val="128"/>
    </font>
    <font>
      <u/>
      <sz val="8.25"/>
      <color indexed="12"/>
      <name val="ＭＳ Ｐゴシック"/>
      <family val="3"/>
      <charset val="128"/>
    </font>
    <font>
      <u/>
      <sz val="10"/>
      <color indexed="12"/>
      <name val="ＭＳ ゴシック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u/>
      <sz val="12.65"/>
      <color theme="10"/>
      <name val="ＭＳ Ｐゴシック"/>
      <family val="3"/>
      <charset val="128"/>
    </font>
    <font>
      <u/>
      <sz val="9"/>
      <color theme="10"/>
      <name val="ＭＳ Ｐ明朝"/>
      <family val="1"/>
      <charset val="128"/>
    </font>
    <font>
      <u/>
      <sz val="7.7"/>
      <color indexed="12"/>
      <name val="ＭＳ Ｐゴシック"/>
      <family val="3"/>
      <charset val="128"/>
    </font>
    <font>
      <u/>
      <sz val="9"/>
      <color theme="10"/>
      <name val="ＭＳ ゴシック"/>
      <family val="3"/>
      <charset val="128"/>
    </font>
    <font>
      <sz val="11"/>
      <name val="MS UI Gothic"/>
      <family val="3"/>
      <charset val="128"/>
    </font>
    <font>
      <sz val="9"/>
      <color indexed="52"/>
      <name val="ＭＳ Ｐゴシック"/>
      <family val="3"/>
      <charset val="128"/>
    </font>
    <font>
      <sz val="10"/>
      <color indexed="52"/>
      <name val="ＭＳ Ｐゴシック"/>
      <family val="3"/>
      <charset val="128"/>
    </font>
    <font>
      <sz val="11"/>
      <color indexed="10"/>
      <name val="맑은 고딕"/>
      <family val="2"/>
    </font>
    <font>
      <b/>
      <sz val="11"/>
      <color indexed="52"/>
      <name val="맑은 고딕"/>
      <family val="2"/>
    </font>
    <font>
      <sz val="9"/>
      <color indexed="20"/>
      <name val="ＭＳ Ｐゴシック"/>
      <family val="3"/>
      <charset val="128"/>
    </font>
    <font>
      <sz val="10"/>
      <color indexed="20"/>
      <name val="ＭＳ Ｐゴシック"/>
      <family val="3"/>
      <charset val="128"/>
    </font>
    <font>
      <sz val="11"/>
      <color indexed="20"/>
      <name val="맑은 고딕"/>
      <family val="2"/>
    </font>
    <font>
      <sz val="12"/>
      <name val="細明朝体"/>
      <family val="3"/>
      <charset val="128"/>
    </font>
    <font>
      <b/>
      <sz val="9"/>
      <color indexed="52"/>
      <name val="ＭＳ Ｐゴシック"/>
      <family val="3"/>
      <charset val="128"/>
    </font>
    <font>
      <b/>
      <sz val="10"/>
      <color indexed="52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sz val="11"/>
      <name val="・団"/>
      <family val="1"/>
      <charset val="128"/>
    </font>
    <font>
      <sz val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15"/>
      <color indexed="39"/>
      <name val="ＭＳ Ｐゴシック"/>
      <family val="3"/>
      <charset val="128"/>
    </font>
    <font>
      <b/>
      <sz val="13"/>
      <color indexed="39"/>
      <name val="ＭＳ Ｐゴシック"/>
      <family val="3"/>
      <charset val="128"/>
    </font>
    <font>
      <b/>
      <sz val="11"/>
      <color indexed="39"/>
      <name val="ＭＳ Ｐゴシック"/>
      <family val="3"/>
      <charset val="128"/>
    </font>
    <font>
      <b/>
      <sz val="16"/>
      <name val="ＭＳ 明朝"/>
      <family val="1"/>
      <charset val="128"/>
    </font>
    <font>
      <sz val="8"/>
      <name val="ＭＳ 明朝"/>
      <family val="1"/>
      <charset val="128"/>
    </font>
    <font>
      <b/>
      <sz val="9"/>
      <color indexed="8"/>
      <name val="ＭＳ Ｐゴシック"/>
      <family val="3"/>
      <charset val="128"/>
    </font>
    <font>
      <b/>
      <sz val="10"/>
      <color indexed="8"/>
      <name val="ＭＳ Ｐゴシック"/>
      <family val="3"/>
      <charset val="128"/>
    </font>
    <font>
      <b/>
      <sz val="9"/>
      <color indexed="63"/>
      <name val="ＭＳ Ｐゴシック"/>
      <family val="3"/>
      <charset val="128"/>
    </font>
    <font>
      <b/>
      <sz val="10"/>
      <color indexed="63"/>
      <name val="ＭＳ Ｐゴシック"/>
      <family val="3"/>
      <charset val="128"/>
    </font>
    <font>
      <sz val="8"/>
      <name val="ＭＳ ゴシック"/>
      <family val="3"/>
      <charset val="128"/>
    </font>
    <font>
      <sz val="10"/>
      <name val="MS UI Gothic"/>
      <family val="3"/>
      <charset val="128"/>
    </font>
    <font>
      <sz val="10"/>
      <color indexed="12"/>
      <name val="細明朝体"/>
      <family val="3"/>
      <charset val="128"/>
    </font>
    <font>
      <sz val="10"/>
      <color indexed="10"/>
      <name val="細明朝体"/>
      <family val="3"/>
      <charset val="128"/>
    </font>
    <font>
      <i/>
      <sz val="9"/>
      <color indexed="23"/>
      <name val="ＭＳ Ｐゴシック"/>
      <family val="3"/>
      <charset val="128"/>
    </font>
    <font>
      <i/>
      <sz val="10"/>
      <color indexed="23"/>
      <name val="ＭＳ Ｐゴシック"/>
      <family val="3"/>
      <charset val="128"/>
    </font>
    <font>
      <sz val="11"/>
      <name val="ＭＳ ・団"/>
      <family val="1"/>
      <charset val="128"/>
    </font>
    <font>
      <sz val="12"/>
      <name val="Osaka"/>
      <family val="3"/>
      <charset val="128"/>
    </font>
    <font>
      <sz val="10"/>
      <color indexed="8"/>
      <name val="ＭＳ ゴシック"/>
      <family val="3"/>
      <charset val="128"/>
    </font>
    <font>
      <sz val="9"/>
      <color indexed="62"/>
      <name val="ＭＳ Ｐゴシック"/>
      <family val="3"/>
      <charset val="128"/>
    </font>
    <font>
      <sz val="10"/>
      <color indexed="62"/>
      <name val="ＭＳ Ｐゴシック"/>
      <family val="3"/>
      <charset val="128"/>
    </font>
    <font>
      <sz val="9"/>
      <color indexed="8"/>
      <name val="ＭＳ ゴシック"/>
      <family val="3"/>
      <charset val="128"/>
    </font>
    <font>
      <sz val="10"/>
      <color theme="1"/>
      <name val="Meiryo UI"/>
      <family val="3"/>
      <charset val="128"/>
    </font>
    <font>
      <sz val="8"/>
      <name val="ＭＳ Ｐゴシック"/>
      <family val="3"/>
      <charset val="128"/>
    </font>
    <font>
      <vertAlign val="superscript"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indexed="8"/>
      <name val="ＭＳ ゴシック"/>
      <family val="3"/>
      <charset val="128"/>
    </font>
    <font>
      <sz val="11"/>
      <color indexed="8"/>
      <name val="ＭＳ ゴシック"/>
      <family val="3"/>
      <charset val="128"/>
    </font>
    <font>
      <sz val="12"/>
      <name val="ＭＳ Ｐ明朝"/>
      <family val="1"/>
      <charset val="128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0"/>
      <color theme="1"/>
      <name val="ＭＳ 明朝"/>
      <family val="1"/>
      <charset val="128"/>
    </font>
    <font>
      <sz val="11"/>
      <color indexed="8"/>
      <name val="ＭＳ 明朝"/>
      <family val="1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明朝"/>
      <family val="1"/>
      <charset val="128"/>
    </font>
    <font>
      <u/>
      <sz val="8.25"/>
      <color indexed="36"/>
      <name val="ＭＳ Ｐ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sz val="14"/>
      <name val="ＭＳ 明朝"/>
      <family val="1"/>
      <charset val="128"/>
    </font>
    <font>
      <sz val="9"/>
      <color indexed="17"/>
      <name val="ＭＳ Ｐゴシック"/>
      <family val="3"/>
      <charset val="128"/>
    </font>
    <font>
      <sz val="10"/>
      <color indexed="17"/>
      <name val="ＭＳ Ｐゴシック"/>
      <family val="3"/>
      <charset val="128"/>
    </font>
    <font>
      <sz val="9"/>
      <color rgb="FF006100"/>
      <name val="ＭＳ Ｐ明朝"/>
      <family val="2"/>
      <charset val="128"/>
    </font>
    <font>
      <sz val="11"/>
      <color indexed="60"/>
      <name val="맑은 고딕"/>
      <family val="2"/>
    </font>
    <font>
      <i/>
      <sz val="11"/>
      <color indexed="23"/>
      <name val="맑은 고딕"/>
      <family val="2"/>
    </font>
    <font>
      <b/>
      <sz val="11"/>
      <color indexed="9"/>
      <name val="맑은 고딕"/>
      <family val="2"/>
    </font>
    <font>
      <b/>
      <sz val="12"/>
      <name val="楲污澂厃嚃"/>
      <family val="3"/>
      <charset val="128"/>
    </font>
    <font>
      <sz val="11"/>
      <color indexed="52"/>
      <name val="맑은 고딕"/>
      <family val="2"/>
    </font>
    <font>
      <b/>
      <sz val="11"/>
      <color indexed="8"/>
      <name val="맑은 고딕"/>
      <family val="2"/>
    </font>
    <font>
      <sz val="11"/>
      <color indexed="62"/>
      <name val="맑은 고딕"/>
      <family val="2"/>
    </font>
    <font>
      <b/>
      <sz val="18"/>
      <color indexed="56"/>
      <name val="맑은 고딕"/>
      <family val="2"/>
    </font>
    <font>
      <b/>
      <sz val="15"/>
      <color indexed="56"/>
      <name val="맑은 고딕"/>
      <family val="2"/>
    </font>
    <font>
      <b/>
      <sz val="13"/>
      <color indexed="56"/>
      <name val="맑은 고딕"/>
      <family val="2"/>
    </font>
    <font>
      <b/>
      <sz val="11"/>
      <color indexed="56"/>
      <name val="맑은 고딕"/>
      <family val="2"/>
    </font>
    <font>
      <sz val="11"/>
      <color indexed="17"/>
      <name val="맑은 고딕"/>
      <family val="2"/>
    </font>
    <font>
      <b/>
      <sz val="11"/>
      <color indexed="63"/>
      <name val="맑은 고딕"/>
      <family val="2"/>
    </font>
    <font>
      <sz val="11"/>
      <name val="돋움"/>
      <family val="2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color rgb="FF006100"/>
      <name val="ＭＳ Ｐ明朝"/>
      <family val="1"/>
      <charset val="128"/>
    </font>
    <font>
      <sz val="11"/>
      <color rgb="FF9C0006"/>
      <name val="ＭＳ Ｐ明朝"/>
      <family val="1"/>
      <charset val="128"/>
    </font>
    <font>
      <b/>
      <sz val="18"/>
      <color theme="0"/>
      <name val="ＭＳ 明朝"/>
      <family val="1"/>
      <charset val="128"/>
    </font>
    <font>
      <b/>
      <sz val="11"/>
      <color rgb="FFFF0000"/>
      <name val="ＭＳ Ｐ明朝"/>
      <family val="1"/>
      <charset val="128"/>
    </font>
    <font>
      <sz val="11"/>
      <color indexed="81"/>
      <name val="ＭＳ 明朝"/>
      <family val="1"/>
      <charset val="128"/>
    </font>
    <font>
      <b/>
      <sz val="11"/>
      <color indexed="81"/>
      <name val="ＭＳ 明朝"/>
      <family val="1"/>
      <charset val="128"/>
    </font>
    <font>
      <sz val="11"/>
      <name val="ＭＳ Ｐ明朝"/>
      <family val="1"/>
      <charset val="128"/>
    </font>
    <font>
      <sz val="11"/>
      <color rgb="FFFF0000"/>
      <name val="ＭＳ 明朝"/>
      <family val="1"/>
      <charset val="128"/>
    </font>
    <font>
      <sz val="11"/>
      <color rgb="FF0000CC"/>
      <name val="ＭＳ 明朝"/>
      <family val="1"/>
      <charset val="128"/>
    </font>
  </fonts>
  <fills count="58">
    <fill>
      <patternFill patternType="none"/>
    </fill>
    <fill>
      <patternFill patternType="gray125"/>
    </fill>
    <fill>
      <patternFill patternType="solid">
        <fgColor rgb="FFFF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</patternFill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indexed="39"/>
      </patternFill>
    </fill>
    <fill>
      <patternFill patternType="solid">
        <fgColor indexed="54"/>
      </patternFill>
    </fill>
    <fill>
      <patternFill patternType="gray0625">
        <fgColor indexed="23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4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3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39"/>
      </top>
      <bottom style="double">
        <color indexed="39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39"/>
      </top>
      <bottom style="double">
        <color indexed="3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double">
        <color indexed="64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thin">
        <color theme="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theme="0"/>
      </top>
      <bottom style="thin">
        <color indexed="64"/>
      </bottom>
      <diagonal/>
    </border>
    <border>
      <left style="hair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double">
        <color indexed="64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hair">
        <color indexed="64"/>
      </right>
      <top style="thin">
        <color indexed="64"/>
      </top>
      <bottom style="thin">
        <color theme="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theme="0"/>
      </bottom>
      <diagonal/>
    </border>
    <border>
      <left style="hair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double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</borders>
  <cellStyleXfs count="11657">
    <xf numFmtId="0" fontId="0" fillId="0" borderId="0">
      <alignment vertical="center"/>
    </xf>
    <xf numFmtId="0" fontId="6" fillId="0" borderId="0"/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33" fillId="0" borderId="0"/>
    <xf numFmtId="0" fontId="4" fillId="9" borderId="33" applyNumberFormat="0" applyAlignment="0" applyProtection="0">
      <alignment vertical="center"/>
    </xf>
    <xf numFmtId="0" fontId="33" fillId="9" borderId="33" applyNumberFormat="0" applyFont="0" applyAlignment="0" applyProtection="0">
      <alignment vertical="center"/>
    </xf>
    <xf numFmtId="0" fontId="4" fillId="0" borderId="0">
      <alignment vertical="center"/>
    </xf>
    <xf numFmtId="0" fontId="4" fillId="9" borderId="33" applyNumberFormat="0" applyAlignment="0" applyProtection="0">
      <alignment vertical="center"/>
    </xf>
    <xf numFmtId="0" fontId="27" fillId="10" borderId="2">
      <alignment vertical="center"/>
    </xf>
    <xf numFmtId="38" fontId="33" fillId="0" borderId="0" applyFont="0" applyFill="0" applyBorder="0" applyAlignment="0" applyProtection="0">
      <alignment vertical="center"/>
    </xf>
    <xf numFmtId="0" fontId="35" fillId="12" borderId="0" applyNumberFormat="0" applyBorder="0" applyAlignment="0" applyProtection="0"/>
    <xf numFmtId="0" fontId="26" fillId="1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9" fontId="43" fillId="0" borderId="0" applyFont="0" applyFill="0" applyBorder="0" applyAlignment="0" applyProtection="0"/>
    <xf numFmtId="0" fontId="44" fillId="0" borderId="0"/>
    <xf numFmtId="49" fontId="45" fillId="0" borderId="0"/>
    <xf numFmtId="49" fontId="45" fillId="0" borderId="0"/>
    <xf numFmtId="49" fontId="45" fillId="0" borderId="0"/>
    <xf numFmtId="49" fontId="45" fillId="0" borderId="0"/>
    <xf numFmtId="0" fontId="46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0" borderId="0" applyNumberFormat="0" applyFill="0" applyBorder="0" applyAlignment="0" applyProtection="0">
      <alignment vertical="top"/>
      <protection locked="0"/>
    </xf>
    <xf numFmtId="0" fontId="49" fillId="0" borderId="0" applyNumberFormat="0" applyFill="0" applyBorder="0" applyAlignment="0" applyProtection="0">
      <alignment vertical="top"/>
      <protection locked="0"/>
    </xf>
    <xf numFmtId="0" fontId="50" fillId="0" borderId="0"/>
    <xf numFmtId="187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187" fontId="6" fillId="0" borderId="0" applyFont="0" applyFill="0" applyBorder="0" applyAlignment="0" applyProtection="0"/>
    <xf numFmtId="0" fontId="6" fillId="0" borderId="0"/>
    <xf numFmtId="180" fontId="51" fillId="0" borderId="0" applyFont="0" applyFill="0" applyBorder="0" applyAlignment="0" applyProtection="0"/>
    <xf numFmtId="10" fontId="51" fillId="0" borderId="0" applyFont="0" applyFill="0" applyBorder="0" applyAlignment="0" applyProtection="0"/>
    <xf numFmtId="0" fontId="52" fillId="0" borderId="0" applyFont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54" fillId="0" borderId="55" applyNumberFormat="0" applyFill="0" applyBorder="0" applyAlignment="0" applyProtection="0"/>
    <xf numFmtId="0" fontId="35" fillId="15" borderId="0" applyNumberFormat="0" applyBorder="0" applyAlignment="0" applyProtection="0"/>
    <xf numFmtId="0" fontId="55" fillId="15" borderId="0" applyNumberFormat="0" applyBorder="0" applyAlignment="0" applyProtection="0">
      <alignment vertical="center"/>
    </xf>
    <xf numFmtId="0" fontId="35" fillId="16" borderId="0" applyNumberFormat="0" applyBorder="0" applyAlignment="0" applyProtection="0"/>
    <xf numFmtId="0" fontId="55" fillId="16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35" fillId="17" borderId="0" applyNumberFormat="0" applyBorder="0" applyAlignment="0" applyProtection="0"/>
    <xf numFmtId="0" fontId="55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/>
    <xf numFmtId="0" fontId="55" fillId="18" borderId="0" applyNumberFormat="0" applyBorder="0" applyAlignment="0" applyProtection="0">
      <alignment vertical="center"/>
    </xf>
    <xf numFmtId="0" fontId="35" fillId="19" borderId="0" applyNumberFormat="0" applyBorder="0" applyAlignment="0" applyProtection="0"/>
    <xf numFmtId="0" fontId="55" fillId="1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7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6" fillId="2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7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7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8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7" fillId="19" borderId="0" applyNumberFormat="0" applyBorder="0" applyAlignment="0" applyProtection="0">
      <alignment vertical="center"/>
    </xf>
    <xf numFmtId="0" fontId="55" fillId="22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5" fillId="19" borderId="0" applyNumberFormat="0" applyBorder="0" applyAlignment="0" applyProtection="0">
      <alignment vertical="center"/>
    </xf>
    <xf numFmtId="0" fontId="58" fillId="15" borderId="0" applyNumberFormat="0" applyBorder="0" applyAlignment="0" applyProtection="0">
      <alignment vertical="center"/>
    </xf>
    <xf numFmtId="0" fontId="58" fillId="16" borderId="0" applyNumberFormat="0" applyBorder="0" applyAlignment="0" applyProtection="0">
      <alignment vertical="center"/>
    </xf>
    <xf numFmtId="0" fontId="58" fillId="12" borderId="0" applyNumberFormat="0" applyBorder="0" applyAlignment="0" applyProtection="0">
      <alignment vertical="center"/>
    </xf>
    <xf numFmtId="0" fontId="58" fillId="17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9" borderId="0" applyNumberFormat="0" applyBorder="0" applyAlignment="0" applyProtection="0">
      <alignment vertical="center"/>
    </xf>
    <xf numFmtId="0" fontId="35" fillId="23" borderId="0" applyNumberFormat="0" applyBorder="0" applyAlignment="0" applyProtection="0"/>
    <xf numFmtId="0" fontId="55" fillId="23" borderId="0" applyNumberFormat="0" applyBorder="0" applyAlignment="0" applyProtection="0">
      <alignment vertical="center"/>
    </xf>
    <xf numFmtId="0" fontId="35" fillId="21" borderId="0" applyNumberFormat="0" applyBorder="0" applyAlignment="0" applyProtection="0"/>
    <xf numFmtId="0" fontId="55" fillId="21" borderId="0" applyNumberFormat="0" applyBorder="0" applyAlignment="0" applyProtection="0">
      <alignment vertical="center"/>
    </xf>
    <xf numFmtId="0" fontId="35" fillId="24" borderId="0" applyNumberFormat="0" applyBorder="0" applyAlignment="0" applyProtection="0"/>
    <xf numFmtId="0" fontId="55" fillId="24" borderId="0" applyNumberFormat="0" applyBorder="0" applyAlignment="0" applyProtection="0">
      <alignment vertical="center"/>
    </xf>
    <xf numFmtId="0" fontId="35" fillId="17" borderId="0" applyNumberFormat="0" applyBorder="0" applyAlignment="0" applyProtection="0"/>
    <xf numFmtId="0" fontId="55" fillId="17" borderId="0" applyNumberFormat="0" applyBorder="0" applyAlignment="0" applyProtection="0">
      <alignment vertical="center"/>
    </xf>
    <xf numFmtId="0" fontId="35" fillId="23" borderId="0" applyNumberFormat="0" applyBorder="0" applyAlignment="0" applyProtection="0"/>
    <xf numFmtId="0" fontId="55" fillId="23" borderId="0" applyNumberFormat="0" applyBorder="0" applyAlignment="0" applyProtection="0">
      <alignment vertical="center"/>
    </xf>
    <xf numFmtId="0" fontId="35" fillId="25" borderId="0" applyNumberFormat="0" applyBorder="0" applyAlignment="0" applyProtection="0"/>
    <xf numFmtId="0" fontId="55" fillId="25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6" fillId="26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7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6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1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6" fillId="27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7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6" fillId="26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17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6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7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7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5" fillId="25" borderId="0" applyNumberFormat="0" applyBorder="0" applyAlignment="0" applyProtection="0">
      <alignment vertical="center"/>
    </xf>
    <xf numFmtId="0" fontId="58" fillId="23" borderId="0" applyNumberFormat="0" applyBorder="0" applyAlignment="0" applyProtection="0">
      <alignment vertical="center"/>
    </xf>
    <xf numFmtId="0" fontId="58" fillId="21" borderId="0" applyNumberFormat="0" applyBorder="0" applyAlignment="0" applyProtection="0">
      <alignment vertical="center"/>
    </xf>
    <xf numFmtId="0" fontId="58" fillId="24" borderId="0" applyNumberFormat="0" applyBorder="0" applyAlignment="0" applyProtection="0">
      <alignment vertical="center"/>
    </xf>
    <xf numFmtId="0" fontId="58" fillId="17" borderId="0" applyNumberFormat="0" applyBorder="0" applyAlignment="0" applyProtection="0">
      <alignment vertical="center"/>
    </xf>
    <xf numFmtId="0" fontId="58" fillId="23" borderId="0" applyNumberFormat="0" applyBorder="0" applyAlignment="0" applyProtection="0">
      <alignment vertical="center"/>
    </xf>
    <xf numFmtId="0" fontId="58" fillId="25" borderId="0" applyNumberFormat="0" applyBorder="0" applyAlignment="0" applyProtection="0">
      <alignment vertical="center"/>
    </xf>
    <xf numFmtId="0" fontId="59" fillId="28" borderId="0" applyNumberFormat="0" applyBorder="0" applyAlignment="0" applyProtection="0"/>
    <xf numFmtId="0" fontId="60" fillId="28" borderId="0" applyNumberFormat="0" applyBorder="0" applyAlignment="0" applyProtection="0">
      <alignment vertical="center"/>
    </xf>
    <xf numFmtId="0" fontId="59" fillId="21" borderId="0" applyNumberFormat="0" applyBorder="0" applyAlignment="0" applyProtection="0"/>
    <xf numFmtId="0" fontId="60" fillId="21" borderId="0" applyNumberFormat="0" applyBorder="0" applyAlignment="0" applyProtection="0">
      <alignment vertical="center"/>
    </xf>
    <xf numFmtId="0" fontId="59" fillId="24" borderId="0" applyNumberFormat="0" applyBorder="0" applyAlignment="0" applyProtection="0"/>
    <xf numFmtId="0" fontId="60" fillId="24" borderId="0" applyNumberFormat="0" applyBorder="0" applyAlignment="0" applyProtection="0">
      <alignment vertical="center"/>
    </xf>
    <xf numFmtId="0" fontId="59" fillId="29" borderId="0" applyNumberFormat="0" applyBorder="0" applyAlignment="0" applyProtection="0"/>
    <xf numFmtId="0" fontId="60" fillId="29" borderId="0" applyNumberFormat="0" applyBorder="0" applyAlignment="0" applyProtection="0">
      <alignment vertical="center"/>
    </xf>
    <xf numFmtId="0" fontId="59" fillId="30" borderId="0" applyNumberFormat="0" applyBorder="0" applyAlignment="0" applyProtection="0"/>
    <xf numFmtId="0" fontId="60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/>
    <xf numFmtId="0" fontId="60" fillId="31" borderId="0" applyNumberFormat="0" applyBorder="0" applyAlignment="0" applyProtection="0">
      <alignment vertical="center"/>
    </xf>
    <xf numFmtId="0" fontId="60" fillId="28" borderId="0" applyNumberFormat="0" applyBorder="0" applyAlignment="0" applyProtection="0">
      <alignment vertical="center"/>
    </xf>
    <xf numFmtId="0" fontId="60" fillId="28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0" fillId="28" borderId="0" applyNumberFormat="0" applyBorder="0" applyAlignment="0" applyProtection="0">
      <alignment vertical="center"/>
    </xf>
    <xf numFmtId="0" fontId="62" fillId="28" borderId="0" applyNumberFormat="0" applyBorder="0" applyAlignment="0" applyProtection="0">
      <alignment vertical="center"/>
    </xf>
    <xf numFmtId="0" fontId="60" fillId="28" borderId="0" applyNumberFormat="0" applyBorder="0" applyAlignment="0" applyProtection="0">
      <alignment vertical="center"/>
    </xf>
    <xf numFmtId="0" fontId="60" fillId="28" borderId="0" applyNumberFormat="0" applyBorder="0" applyAlignment="0" applyProtection="0">
      <alignment vertical="center"/>
    </xf>
    <xf numFmtId="0" fontId="60" fillId="28" borderId="0" applyNumberFormat="0" applyBorder="0" applyAlignment="0" applyProtection="0">
      <alignment vertical="center"/>
    </xf>
    <xf numFmtId="0" fontId="60" fillId="21" borderId="0" applyNumberFormat="0" applyBorder="0" applyAlignment="0" applyProtection="0">
      <alignment vertical="center"/>
    </xf>
    <xf numFmtId="0" fontId="60" fillId="21" borderId="0" applyNumberFormat="0" applyBorder="0" applyAlignment="0" applyProtection="0">
      <alignment vertical="center"/>
    </xf>
    <xf numFmtId="0" fontId="61" fillId="21" borderId="0" applyNumberFormat="0" applyBorder="0" applyAlignment="0" applyProtection="0">
      <alignment vertical="center"/>
    </xf>
    <xf numFmtId="0" fontId="60" fillId="21" borderId="0" applyNumberFormat="0" applyBorder="0" applyAlignment="0" applyProtection="0">
      <alignment vertical="center"/>
    </xf>
    <xf numFmtId="0" fontId="62" fillId="21" borderId="0" applyNumberFormat="0" applyBorder="0" applyAlignment="0" applyProtection="0">
      <alignment vertical="center"/>
    </xf>
    <xf numFmtId="0" fontId="60" fillId="21" borderId="0" applyNumberFormat="0" applyBorder="0" applyAlignment="0" applyProtection="0">
      <alignment vertical="center"/>
    </xf>
    <xf numFmtId="0" fontId="60" fillId="21" borderId="0" applyNumberFormat="0" applyBorder="0" applyAlignment="0" applyProtection="0">
      <alignment vertical="center"/>
    </xf>
    <xf numFmtId="0" fontId="60" fillId="24" borderId="0" applyNumberFormat="0" applyBorder="0" applyAlignment="0" applyProtection="0">
      <alignment vertical="center"/>
    </xf>
    <xf numFmtId="0" fontId="60" fillId="24" borderId="0" applyNumberFormat="0" applyBorder="0" applyAlignment="0" applyProtection="0">
      <alignment vertical="center"/>
    </xf>
    <xf numFmtId="0" fontId="61" fillId="27" borderId="0" applyNumberFormat="0" applyBorder="0" applyAlignment="0" applyProtection="0">
      <alignment vertical="center"/>
    </xf>
    <xf numFmtId="0" fontId="60" fillId="24" borderId="0" applyNumberFormat="0" applyBorder="0" applyAlignment="0" applyProtection="0">
      <alignment vertical="center"/>
    </xf>
    <xf numFmtId="0" fontId="62" fillId="24" borderId="0" applyNumberFormat="0" applyBorder="0" applyAlignment="0" applyProtection="0">
      <alignment vertical="center"/>
    </xf>
    <xf numFmtId="0" fontId="60" fillId="24" borderId="0" applyNumberFormat="0" applyBorder="0" applyAlignment="0" applyProtection="0">
      <alignment vertical="center"/>
    </xf>
    <xf numFmtId="0" fontId="60" fillId="24" borderId="0" applyNumberFormat="0" applyBorder="0" applyAlignment="0" applyProtection="0">
      <alignment vertical="center"/>
    </xf>
    <xf numFmtId="0" fontId="60" fillId="24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1" fillId="26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2" fillId="29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0" fillId="30" borderId="0" applyNumberFormat="0" applyBorder="0" applyAlignment="0" applyProtection="0">
      <alignment vertical="center"/>
    </xf>
    <xf numFmtId="0" fontId="60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0" fillId="30" borderId="0" applyNumberFormat="0" applyBorder="0" applyAlignment="0" applyProtection="0">
      <alignment vertical="center"/>
    </xf>
    <xf numFmtId="0" fontId="62" fillId="30" borderId="0" applyNumberFormat="0" applyBorder="0" applyAlignment="0" applyProtection="0">
      <alignment vertical="center"/>
    </xf>
    <xf numFmtId="0" fontId="60" fillId="30" borderId="0" applyNumberFormat="0" applyBorder="0" applyAlignment="0" applyProtection="0">
      <alignment vertical="center"/>
    </xf>
    <xf numFmtId="0" fontId="60" fillId="30" borderId="0" applyNumberFormat="0" applyBorder="0" applyAlignment="0" applyProtection="0">
      <alignment vertical="center"/>
    </xf>
    <xf numFmtId="0" fontId="60" fillId="31" borderId="0" applyNumberFormat="0" applyBorder="0" applyAlignment="0" applyProtection="0">
      <alignment vertical="center"/>
    </xf>
    <xf numFmtId="0" fontId="60" fillId="31" borderId="0" applyNumberFormat="0" applyBorder="0" applyAlignment="0" applyProtection="0">
      <alignment vertical="center"/>
    </xf>
    <xf numFmtId="0" fontId="61" fillId="19" borderId="0" applyNumberFormat="0" applyBorder="0" applyAlignment="0" applyProtection="0">
      <alignment vertical="center"/>
    </xf>
    <xf numFmtId="0" fontId="60" fillId="31" borderId="0" applyNumberFormat="0" applyBorder="0" applyAlignment="0" applyProtection="0">
      <alignment vertical="center"/>
    </xf>
    <xf numFmtId="0" fontId="62" fillId="31" borderId="0" applyNumberFormat="0" applyBorder="0" applyAlignment="0" applyProtection="0">
      <alignment vertical="center"/>
    </xf>
    <xf numFmtId="0" fontId="60" fillId="31" borderId="0" applyNumberFormat="0" applyBorder="0" applyAlignment="0" applyProtection="0">
      <alignment vertical="center"/>
    </xf>
    <xf numFmtId="0" fontId="60" fillId="21" borderId="0" applyNumberFormat="0" applyBorder="0" applyAlignment="0" applyProtection="0">
      <alignment vertical="center"/>
    </xf>
    <xf numFmtId="0" fontId="60" fillId="31" borderId="0" applyNumberFormat="0" applyBorder="0" applyAlignment="0" applyProtection="0">
      <alignment vertical="center"/>
    </xf>
    <xf numFmtId="0" fontId="60" fillId="31" borderId="0" applyNumberFormat="0" applyBorder="0" applyAlignment="0" applyProtection="0">
      <alignment vertical="center"/>
    </xf>
    <xf numFmtId="0" fontId="63" fillId="28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4" borderId="0" applyNumberFormat="0" applyBorder="0" applyAlignment="0" applyProtection="0">
      <alignment vertical="center"/>
    </xf>
    <xf numFmtId="0" fontId="63" fillId="29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1" borderId="0" applyNumberFormat="0" applyBorder="0" applyAlignment="0" applyProtection="0">
      <alignment vertical="center"/>
    </xf>
    <xf numFmtId="0" fontId="64" fillId="0" borderId="0" applyProtection="0">
      <alignment horizontal="right" vertical="center"/>
    </xf>
    <xf numFmtId="0" fontId="64" fillId="0" borderId="0" applyProtection="0">
      <alignment horizontal="right" vertical="center"/>
    </xf>
    <xf numFmtId="0" fontId="64" fillId="0" borderId="0" applyProtection="0">
      <alignment horizontal="right" vertical="center"/>
    </xf>
    <xf numFmtId="0" fontId="64" fillId="0" borderId="0" applyProtection="0">
      <alignment horizontal="right" vertical="center"/>
    </xf>
    <xf numFmtId="0" fontId="64" fillId="0" borderId="0" applyProtection="0">
      <alignment horizontal="right" vertical="center"/>
    </xf>
    <xf numFmtId="0" fontId="64" fillId="0" borderId="0" applyProtection="0">
      <alignment horizontal="right" vertical="center"/>
    </xf>
    <xf numFmtId="0" fontId="64" fillId="0" borderId="0" applyProtection="0">
      <alignment horizontal="right" vertical="center"/>
    </xf>
    <xf numFmtId="0" fontId="64" fillId="0" borderId="0" applyProtection="0">
      <alignment horizontal="right" vertical="center"/>
    </xf>
    <xf numFmtId="0" fontId="59" fillId="32" borderId="0" applyNumberFormat="0" applyBorder="0" applyAlignment="0" applyProtection="0"/>
    <xf numFmtId="0" fontId="60" fillId="32" borderId="0" applyNumberFormat="0" applyBorder="0" applyAlignment="0" applyProtection="0">
      <alignment vertical="center"/>
    </xf>
    <xf numFmtId="0" fontId="59" fillId="33" borderId="0" applyNumberFormat="0" applyBorder="0" applyAlignment="0" applyProtection="0"/>
    <xf numFmtId="0" fontId="60" fillId="33" borderId="0" applyNumberFormat="0" applyBorder="0" applyAlignment="0" applyProtection="0">
      <alignment vertical="center"/>
    </xf>
    <xf numFmtId="0" fontId="59" fillId="34" borderId="0" applyNumberFormat="0" applyBorder="0" applyAlignment="0" applyProtection="0"/>
    <xf numFmtId="0" fontId="60" fillId="34" borderId="0" applyNumberFormat="0" applyBorder="0" applyAlignment="0" applyProtection="0">
      <alignment vertical="center"/>
    </xf>
    <xf numFmtId="0" fontId="59" fillId="29" borderId="0" applyNumberFormat="0" applyBorder="0" applyAlignment="0" applyProtection="0"/>
    <xf numFmtId="0" fontId="60" fillId="29" borderId="0" applyNumberFormat="0" applyBorder="0" applyAlignment="0" applyProtection="0">
      <alignment vertical="center"/>
    </xf>
    <xf numFmtId="0" fontId="59" fillId="30" borderId="0" applyNumberFormat="0" applyBorder="0" applyAlignment="0" applyProtection="0"/>
    <xf numFmtId="0" fontId="60" fillId="30" borderId="0" applyNumberFormat="0" applyBorder="0" applyAlignment="0" applyProtection="0">
      <alignment vertical="center"/>
    </xf>
    <xf numFmtId="0" fontId="59" fillId="35" borderId="0" applyNumberFormat="0" applyBorder="0" applyAlignment="0" applyProtection="0"/>
    <xf numFmtId="0" fontId="60" fillId="35" borderId="0" applyNumberFormat="0" applyBorder="0" applyAlignment="0" applyProtection="0">
      <alignment vertical="center"/>
    </xf>
    <xf numFmtId="0" fontId="65" fillId="0" borderId="0">
      <alignment horizontal="center" wrapText="1"/>
      <protection locked="0"/>
    </xf>
    <xf numFmtId="0" fontId="66" fillId="16" borderId="0" applyNumberFormat="0" applyBorder="0" applyAlignment="0" applyProtection="0"/>
    <xf numFmtId="0" fontId="67" fillId="16" borderId="0" applyNumberFormat="0" applyBorder="0" applyAlignment="0" applyProtection="0">
      <alignment vertical="center"/>
    </xf>
    <xf numFmtId="189" fontId="6" fillId="0" borderId="0" applyFont="0" applyFill="0" applyBorder="0" applyAlignment="0" applyProtection="0">
      <alignment horizontal="right"/>
    </xf>
    <xf numFmtId="189" fontId="6" fillId="0" borderId="0" applyFont="0" applyFill="0" applyBorder="0" applyAlignment="0" applyProtection="0">
      <alignment horizontal="right"/>
    </xf>
    <xf numFmtId="0" fontId="68" fillId="0" borderId="0" applyNumberFormat="0" applyFill="0" applyBorder="0" applyAlignment="0" applyProtection="0"/>
    <xf numFmtId="190" fontId="69" fillId="0" borderId="0" applyFill="0" applyBorder="0" applyAlignment="0"/>
    <xf numFmtId="191" fontId="35" fillId="0" borderId="0" applyFill="0" applyBorder="0" applyAlignment="0"/>
    <xf numFmtId="190" fontId="69" fillId="0" borderId="0" applyFill="0" applyBorder="0" applyAlignment="0"/>
    <xf numFmtId="192" fontId="35" fillId="0" borderId="0" applyFill="0" applyBorder="0" applyAlignment="0"/>
    <xf numFmtId="193" fontId="70" fillId="0" borderId="0" applyFill="0" applyBorder="0" applyAlignment="0"/>
    <xf numFmtId="194" fontId="70" fillId="0" borderId="0" applyFill="0" applyBorder="0" applyAlignment="0"/>
    <xf numFmtId="195" fontId="70" fillId="0" borderId="0" applyFill="0" applyBorder="0" applyAlignment="0"/>
    <xf numFmtId="196" fontId="70" fillId="0" borderId="0" applyFill="0" applyBorder="0" applyAlignment="0"/>
    <xf numFmtId="197" fontId="70" fillId="0" borderId="0" applyFill="0" applyBorder="0" applyAlignment="0"/>
    <xf numFmtId="198" fontId="70" fillId="0" borderId="0" applyFill="0" applyBorder="0" applyAlignment="0"/>
    <xf numFmtId="193" fontId="70" fillId="0" borderId="0" applyFill="0" applyBorder="0" applyAlignment="0"/>
    <xf numFmtId="0" fontId="71" fillId="26" borderId="56" applyNumberFormat="0" applyAlignment="0" applyProtection="0"/>
    <xf numFmtId="0" fontId="72" fillId="26" borderId="56" applyNumberFormat="0" applyAlignment="0" applyProtection="0">
      <alignment vertical="center"/>
    </xf>
    <xf numFmtId="0" fontId="73" fillId="36" borderId="57" applyNumberFormat="0" applyAlignment="0" applyProtection="0"/>
    <xf numFmtId="0" fontId="74" fillId="36" borderId="57" applyNumberFormat="0" applyAlignment="0" applyProtection="0">
      <alignment vertical="center"/>
    </xf>
    <xf numFmtId="0" fontId="75" fillId="0" borderId="54" applyNumberFormat="0" applyFill="0" applyProtection="0">
      <alignment horizontal="center"/>
    </xf>
    <xf numFmtId="199" fontId="76" fillId="0" borderId="0"/>
    <xf numFmtId="199" fontId="77" fillId="0" borderId="0"/>
    <xf numFmtId="199" fontId="77" fillId="0" borderId="0"/>
    <xf numFmtId="199" fontId="77" fillId="0" borderId="0"/>
    <xf numFmtId="199" fontId="77" fillId="0" borderId="0"/>
    <xf numFmtId="199" fontId="77" fillId="0" borderId="0"/>
    <xf numFmtId="199" fontId="77" fillId="0" borderId="0"/>
    <xf numFmtId="199" fontId="77" fillId="0" borderId="0"/>
    <xf numFmtId="38" fontId="78" fillId="0" borderId="0" applyFont="0" applyFill="0" applyBorder="0" applyAlignment="0" applyProtection="0"/>
    <xf numFmtId="41" fontId="79" fillId="0" borderId="0" applyFont="0" applyFill="0" applyBorder="0" applyAlignment="0" applyProtection="0"/>
    <xf numFmtId="38" fontId="78" fillId="0" borderId="0" applyFont="0" applyFill="0" applyBorder="0" applyAlignment="0" applyProtection="0"/>
    <xf numFmtId="200" fontId="79" fillId="0" borderId="0" applyFont="0" applyFill="0" applyBorder="0" applyAlignment="0" applyProtection="0"/>
    <xf numFmtId="41" fontId="80" fillId="0" borderId="0" applyFont="0" applyFill="0" applyBorder="0" applyAlignment="0" applyProtection="0"/>
    <xf numFmtId="197" fontId="70" fillId="0" borderId="0" applyFont="0" applyFill="0" applyBorder="0" applyAlignment="0" applyProtection="0"/>
    <xf numFmtId="37" fontId="51" fillId="0" borderId="0" applyFont="0" applyFill="0" applyBorder="0" applyAlignment="0" applyProtection="0"/>
    <xf numFmtId="201" fontId="51" fillId="0" borderId="0" applyFont="0" applyFill="0" applyBorder="0" applyAlignment="0" applyProtection="0"/>
    <xf numFmtId="39" fontId="51" fillId="0" borderId="0" applyFont="0" applyFill="0" applyBorder="0" applyAlignment="0" applyProtection="0"/>
    <xf numFmtId="202" fontId="80" fillId="0" borderId="0" applyFont="0" applyFill="0" applyBorder="0" applyAlignment="0" applyProtection="0"/>
    <xf numFmtId="203" fontId="78" fillId="0" borderId="0" applyFont="0" applyFill="0" applyBorder="0" applyAlignment="0" applyProtection="0"/>
    <xf numFmtId="203" fontId="78" fillId="0" borderId="0" applyFont="0" applyFill="0" applyBorder="0" applyAlignment="0" applyProtection="0"/>
    <xf numFmtId="204" fontId="79" fillId="0" borderId="0" applyFont="0" applyFill="0" applyBorder="0" applyAlignment="0" applyProtection="0"/>
    <xf numFmtId="205" fontId="80" fillId="0" borderId="0" applyFont="0" applyFill="0" applyBorder="0" applyAlignment="0" applyProtection="0"/>
    <xf numFmtId="193" fontId="70" fillId="0" borderId="0" applyFont="0" applyFill="0" applyBorder="0" applyAlignment="0" applyProtection="0"/>
    <xf numFmtId="206" fontId="51" fillId="0" borderId="0" applyFont="0" applyFill="0" applyBorder="0" applyAlignment="0" applyProtection="0"/>
    <xf numFmtId="207" fontId="51" fillId="0" borderId="0" applyFont="0" applyFill="0" applyBorder="0" applyAlignment="0" applyProtection="0"/>
    <xf numFmtId="208" fontId="80" fillId="0" borderId="0" applyFont="0" applyFill="0" applyBorder="0" applyAlignment="0" applyProtection="0"/>
    <xf numFmtId="14" fontId="35" fillId="0" borderId="0" applyFill="0" applyBorder="0" applyAlignment="0"/>
    <xf numFmtId="197" fontId="70" fillId="0" borderId="0" applyFill="0" applyBorder="0" applyAlignment="0"/>
    <xf numFmtId="193" fontId="70" fillId="0" borderId="0" applyFill="0" applyBorder="0" applyAlignment="0"/>
    <xf numFmtId="197" fontId="70" fillId="0" borderId="0" applyFill="0" applyBorder="0" applyAlignment="0"/>
    <xf numFmtId="198" fontId="70" fillId="0" borderId="0" applyFill="0" applyBorder="0" applyAlignment="0"/>
    <xf numFmtId="193" fontId="70" fillId="0" borderId="0" applyFill="0" applyBorder="0" applyAlignment="0"/>
    <xf numFmtId="0" fontId="81" fillId="0" borderId="0">
      <alignment horizontal="left"/>
    </xf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>
      <alignment vertical="center"/>
    </xf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4" fillId="0" borderId="0" applyFont="0" applyBorder="0"/>
    <xf numFmtId="0" fontId="85" fillId="0" borderId="0">
      <alignment vertical="center"/>
    </xf>
    <xf numFmtId="0" fontId="86" fillId="12" borderId="0" applyNumberFormat="0" applyBorder="0" applyAlignment="0" applyProtection="0"/>
    <xf numFmtId="0" fontId="87" fillId="12" borderId="0" applyNumberFormat="0" applyBorder="0" applyAlignment="0" applyProtection="0">
      <alignment vertical="center"/>
    </xf>
    <xf numFmtId="38" fontId="88" fillId="37" borderId="0" applyNumberFormat="0" applyBorder="0" applyAlignment="0" applyProtection="0"/>
    <xf numFmtId="0" fontId="89" fillId="38" borderId="0"/>
    <xf numFmtId="0" fontId="89" fillId="38" borderId="0"/>
    <xf numFmtId="0" fontId="89" fillId="38" borderId="0"/>
    <xf numFmtId="0" fontId="89" fillId="38" borderId="0"/>
    <xf numFmtId="209" fontId="90" fillId="0" borderId="0" applyNumberFormat="0" applyFill="0" applyBorder="0" applyProtection="0">
      <alignment horizontal="right"/>
    </xf>
    <xf numFmtId="0" fontId="91" fillId="0" borderId="58" applyNumberFormat="0" applyAlignment="0" applyProtection="0">
      <alignment horizontal="left" vertical="center"/>
    </xf>
    <xf numFmtId="0" fontId="91" fillId="0" borderId="4">
      <alignment horizontal="left" vertical="center"/>
    </xf>
    <xf numFmtId="0" fontId="92" fillId="0" borderId="59" applyNumberFormat="0" applyFill="0" applyAlignment="0" applyProtection="0"/>
    <xf numFmtId="0" fontId="93" fillId="0" borderId="59" applyNumberFormat="0" applyFill="0" applyAlignment="0" applyProtection="0">
      <alignment vertical="center"/>
    </xf>
    <xf numFmtId="0" fontId="94" fillId="0" borderId="60" applyNumberFormat="0" applyFill="0" applyAlignment="0" applyProtection="0"/>
    <xf numFmtId="0" fontId="95" fillId="0" borderId="60" applyNumberFormat="0" applyFill="0" applyAlignment="0" applyProtection="0">
      <alignment vertical="center"/>
    </xf>
    <xf numFmtId="0" fontId="96" fillId="0" borderId="61" applyNumberFormat="0" applyFill="0" applyAlignment="0" applyProtection="0"/>
    <xf numFmtId="0" fontId="97" fillId="0" borderId="61" applyNumberFormat="0" applyFill="0" applyAlignment="0" applyProtection="0">
      <alignment vertical="center"/>
    </xf>
    <xf numFmtId="0" fontId="96" fillId="0" borderId="0" applyNumberFormat="0" applyFill="0" applyBorder="0" applyAlignment="0" applyProtection="0"/>
    <xf numFmtId="0" fontId="97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top"/>
      <protection locked="0"/>
    </xf>
    <xf numFmtId="0" fontId="69" fillId="0" borderId="0" applyBorder="0"/>
    <xf numFmtId="0" fontId="69" fillId="0" borderId="0" applyBorder="0"/>
    <xf numFmtId="0" fontId="99" fillId="19" borderId="56" applyNumberFormat="0" applyAlignment="0" applyProtection="0"/>
    <xf numFmtId="10" fontId="88" fillId="39" borderId="62" applyNumberFormat="0" applyBorder="0" applyAlignment="0" applyProtection="0"/>
    <xf numFmtId="10" fontId="88" fillId="39" borderId="62" applyNumberFormat="0" applyBorder="0" applyAlignment="0" applyProtection="0"/>
    <xf numFmtId="0" fontId="100" fillId="19" borderId="56" applyNumberFormat="0" applyAlignment="0" applyProtection="0">
      <alignment vertical="center"/>
    </xf>
    <xf numFmtId="0" fontId="69" fillId="0" borderId="0"/>
    <xf numFmtId="0" fontId="69" fillId="0" borderId="0"/>
    <xf numFmtId="197" fontId="70" fillId="0" borderId="0" applyFill="0" applyBorder="0" applyAlignment="0"/>
    <xf numFmtId="193" fontId="70" fillId="0" borderId="0" applyFill="0" applyBorder="0" applyAlignment="0"/>
    <xf numFmtId="197" fontId="70" fillId="0" borderId="0" applyFill="0" applyBorder="0" applyAlignment="0"/>
    <xf numFmtId="198" fontId="70" fillId="0" borderId="0" applyFill="0" applyBorder="0" applyAlignment="0"/>
    <xf numFmtId="193" fontId="70" fillId="0" borderId="0" applyFill="0" applyBorder="0" applyAlignment="0"/>
    <xf numFmtId="0" fontId="101" fillId="0" borderId="63" applyNumberFormat="0" applyFill="0" applyAlignment="0" applyProtection="0"/>
    <xf numFmtId="0" fontId="102" fillId="0" borderId="63" applyNumberFormat="0" applyFill="0" applyAlignment="0" applyProtection="0">
      <alignment vertical="center"/>
    </xf>
    <xf numFmtId="38" fontId="78" fillId="0" borderId="0" applyFont="0" applyFill="0" applyBorder="0" applyAlignment="0" applyProtection="0"/>
    <xf numFmtId="40" fontId="78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210" fontId="78" fillId="0" borderId="0" applyFont="0" applyFill="0" applyBorder="0" applyAlignment="0" applyProtection="0"/>
    <xf numFmtId="211" fontId="78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103" fillId="27" borderId="0" applyNumberFormat="0" applyBorder="0" applyAlignment="0" applyProtection="0"/>
    <xf numFmtId="0" fontId="104" fillId="27" borderId="0" applyNumberFormat="0" applyBorder="0" applyAlignment="0" applyProtection="0">
      <alignment vertical="center"/>
    </xf>
    <xf numFmtId="37" fontId="105" fillId="0" borderId="0"/>
    <xf numFmtId="212" fontId="69" fillId="0" borderId="0"/>
    <xf numFmtId="213" fontId="106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5" fontId="45" fillId="0" borderId="0"/>
    <xf numFmtId="215" fontId="45" fillId="0" borderId="0"/>
    <xf numFmtId="215" fontId="45" fillId="0" borderId="0"/>
    <xf numFmtId="215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4" fontId="45" fillId="0" borderId="0"/>
    <xf numFmtId="212" fontId="69" fillId="0" borderId="0"/>
    <xf numFmtId="216" fontId="6" fillId="0" borderId="0"/>
    <xf numFmtId="0" fontId="55" fillId="0" borderId="0">
      <alignment vertical="center"/>
    </xf>
    <xf numFmtId="0" fontId="80" fillId="0" borderId="0"/>
    <xf numFmtId="0" fontId="107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07" fillId="22" borderId="64" applyNumberFormat="0" applyFont="0" applyAlignment="0" applyProtection="0"/>
    <xf numFmtId="0" fontId="107" fillId="22" borderId="64" applyNumberFormat="0" applyFont="0" applyAlignment="0" applyProtection="0"/>
    <xf numFmtId="0" fontId="80" fillId="22" borderId="64" applyNumberFormat="0" applyFont="0" applyAlignment="0" applyProtection="0"/>
    <xf numFmtId="0" fontId="80" fillId="22" borderId="64" applyNumberFormat="0" applyFont="0" applyAlignment="0" applyProtection="0"/>
    <xf numFmtId="0" fontId="107" fillId="22" borderId="64" applyNumberFormat="0" applyFont="0" applyAlignment="0" applyProtection="0"/>
    <xf numFmtId="0" fontId="108" fillId="26" borderId="65" applyNumberFormat="0" applyAlignment="0" applyProtection="0"/>
    <xf numFmtId="0" fontId="109" fillId="26" borderId="65" applyNumberFormat="0" applyAlignment="0" applyProtection="0">
      <alignment vertical="center"/>
    </xf>
    <xf numFmtId="14" fontId="65" fillId="0" borderId="0">
      <alignment horizontal="center" wrapText="1"/>
      <protection locked="0"/>
    </xf>
    <xf numFmtId="180" fontId="80" fillId="0" borderId="0" applyFont="0" applyFill="0" applyBorder="0" applyAlignment="0" applyProtection="0"/>
    <xf numFmtId="196" fontId="70" fillId="0" borderId="0" applyFont="0" applyFill="0" applyBorder="0" applyAlignment="0" applyProtection="0"/>
    <xf numFmtId="217" fontId="80" fillId="0" borderId="0" applyFont="0" applyFill="0" applyBorder="0" applyAlignment="0" applyProtection="0"/>
    <xf numFmtId="10" fontId="80" fillId="0" borderId="0" applyFont="0" applyFill="0" applyBorder="0" applyAlignment="0" applyProtection="0"/>
    <xf numFmtId="218" fontId="70" fillId="0" borderId="0" applyFont="0" applyFill="0" applyBorder="0" applyAlignment="0" applyProtection="0"/>
    <xf numFmtId="197" fontId="70" fillId="0" borderId="0" applyFill="0" applyBorder="0" applyAlignment="0"/>
    <xf numFmtId="193" fontId="70" fillId="0" borderId="0" applyFill="0" applyBorder="0" applyAlignment="0"/>
    <xf numFmtId="197" fontId="70" fillId="0" borderId="0" applyFill="0" applyBorder="0" applyAlignment="0"/>
    <xf numFmtId="198" fontId="70" fillId="0" borderId="0" applyFill="0" applyBorder="0" applyAlignment="0"/>
    <xf numFmtId="193" fontId="70" fillId="0" borderId="0" applyFill="0" applyBorder="0" applyAlignment="0"/>
    <xf numFmtId="4" fontId="81" fillId="0" borderId="0">
      <alignment horizontal="right"/>
    </xf>
    <xf numFmtId="0" fontId="110" fillId="0" borderId="0" applyNumberFormat="0" applyFont="0" applyFill="0" applyBorder="0" applyAlignment="0" applyProtection="0">
      <alignment horizontal="left"/>
    </xf>
    <xf numFmtId="15" fontId="110" fillId="0" borderId="0" applyFont="0" applyFill="0" applyBorder="0" applyAlignment="0" applyProtection="0"/>
    <xf numFmtId="4" fontId="110" fillId="0" borderId="0" applyFont="0" applyFill="0" applyBorder="0" applyAlignment="0" applyProtection="0"/>
    <xf numFmtId="0" fontId="111" fillId="0" borderId="7">
      <alignment horizontal="center"/>
    </xf>
    <xf numFmtId="3" fontId="110" fillId="0" borderId="0" applyFont="0" applyFill="0" applyBorder="0" applyAlignment="0" applyProtection="0"/>
    <xf numFmtId="0" fontId="110" fillId="40" borderId="0" applyNumberFormat="0" applyFont="0" applyBorder="0" applyAlignment="0" applyProtection="0"/>
    <xf numFmtId="4" fontId="112" fillId="0" borderId="0">
      <alignment horizontal="right"/>
    </xf>
    <xf numFmtId="4" fontId="113" fillId="27" borderId="66" applyNumberFormat="0" applyProtection="0">
      <alignment vertical="center"/>
    </xf>
    <xf numFmtId="4" fontId="114" fillId="41" borderId="66" applyNumberFormat="0" applyProtection="0">
      <alignment vertical="center"/>
    </xf>
    <xf numFmtId="4" fontId="113" fillId="41" borderId="66" applyNumberFormat="0" applyProtection="0">
      <alignment horizontal="left" vertical="center" indent="1"/>
    </xf>
    <xf numFmtId="0" fontId="113" fillId="41" borderId="66" applyNumberFormat="0" applyProtection="0">
      <alignment horizontal="left" vertical="top" indent="1"/>
    </xf>
    <xf numFmtId="4" fontId="113" fillId="42" borderId="0" applyNumberFormat="0" applyProtection="0">
      <alignment horizontal="left" vertical="center" indent="1"/>
    </xf>
    <xf numFmtId="4" fontId="35" fillId="16" borderId="66" applyNumberFormat="0" applyProtection="0">
      <alignment horizontal="right" vertical="center"/>
    </xf>
    <xf numFmtId="4" fontId="35" fillId="2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35" fillId="34" borderId="66" applyNumberFormat="0" applyProtection="0">
      <alignment horizontal="right" vertical="center"/>
    </xf>
    <xf numFmtId="4" fontId="35" fillId="43" borderId="66" applyNumberFormat="0" applyProtection="0">
      <alignment horizontal="right" vertical="center"/>
    </xf>
    <xf numFmtId="4" fontId="35" fillId="24" borderId="66" applyNumberFormat="0" applyProtection="0">
      <alignment horizontal="right" vertical="center"/>
    </xf>
    <xf numFmtId="4" fontId="113" fillId="44" borderId="67" applyNumberFormat="0" applyProtection="0">
      <alignment horizontal="left" vertical="center" indent="1"/>
    </xf>
    <xf numFmtId="4" fontId="35" fillId="45" borderId="0" applyNumberFormat="0" applyProtection="0">
      <alignment horizontal="left" vertical="center" indent="1"/>
    </xf>
    <xf numFmtId="4" fontId="115" fillId="46" borderId="0" applyNumberFormat="0" applyProtection="0">
      <alignment horizontal="left" vertical="center" indent="1"/>
    </xf>
    <xf numFmtId="4" fontId="35" fillId="47" borderId="66" applyNumberFormat="0" applyProtection="0">
      <alignment horizontal="right" vertical="center"/>
    </xf>
    <xf numFmtId="4" fontId="35" fillId="45" borderId="0" applyNumberFormat="0" applyProtection="0">
      <alignment horizontal="left" vertical="center" indent="1"/>
    </xf>
    <xf numFmtId="4" fontId="35" fillId="42" borderId="0" applyNumberFormat="0" applyProtection="0">
      <alignment horizontal="left" vertical="center" indent="1"/>
    </xf>
    <xf numFmtId="0" fontId="80" fillId="46" borderId="66" applyNumberFormat="0" applyProtection="0">
      <alignment horizontal="left" vertical="center" indent="1"/>
    </xf>
    <xf numFmtId="0" fontId="80" fillId="46" borderId="66" applyNumberFormat="0" applyProtection="0">
      <alignment horizontal="left" vertical="top" indent="1"/>
    </xf>
    <xf numFmtId="0" fontId="80" fillId="42" borderId="66" applyNumberFormat="0" applyProtection="0">
      <alignment horizontal="left" vertical="center" indent="1"/>
    </xf>
    <xf numFmtId="0" fontId="80" fillId="42" borderId="66" applyNumberFormat="0" applyProtection="0">
      <alignment horizontal="left" vertical="top" indent="1"/>
    </xf>
    <xf numFmtId="0" fontId="80" fillId="48" borderId="66" applyNumberFormat="0" applyProtection="0">
      <alignment horizontal="left" vertical="center" indent="1"/>
    </xf>
    <xf numFmtId="0" fontId="80" fillId="48" borderId="66" applyNumberFormat="0" applyProtection="0">
      <alignment horizontal="left" vertical="top" indent="1"/>
    </xf>
    <xf numFmtId="0" fontId="80" fillId="49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top" indent="1"/>
    </xf>
    <xf numFmtId="4" fontId="35" fillId="39" borderId="66" applyNumberFormat="0" applyProtection="0">
      <alignment vertical="center"/>
    </xf>
    <xf numFmtId="4" fontId="116" fillId="39" borderId="66" applyNumberFormat="0" applyProtection="0">
      <alignment vertical="center"/>
    </xf>
    <xf numFmtId="4" fontId="35" fillId="39" borderId="66" applyNumberFormat="0" applyProtection="0">
      <alignment horizontal="left" vertical="center" indent="1"/>
    </xf>
    <xf numFmtId="0" fontId="35" fillId="39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4" fontId="116" fillId="45" borderId="66" applyNumberFormat="0" applyProtection="0">
      <alignment horizontal="right" vertical="center"/>
    </xf>
    <xf numFmtId="4" fontId="35" fillId="47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4" fontId="117" fillId="50" borderId="0" applyNumberFormat="0" applyProtection="0">
      <alignment horizontal="left" vertical="center" indent="1"/>
    </xf>
    <xf numFmtId="4" fontId="118" fillId="45" borderId="66" applyNumberFormat="0" applyProtection="0">
      <alignment horizontal="right" vertical="center"/>
    </xf>
    <xf numFmtId="0" fontId="119" fillId="0" borderId="0">
      <alignment horizontal="left"/>
    </xf>
    <xf numFmtId="0" fontId="120" fillId="0" borderId="0"/>
    <xf numFmtId="0" fontId="41" fillId="0" borderId="68" applyNumberFormat="0">
      <alignment horizontal="left" vertical="center"/>
    </xf>
    <xf numFmtId="49" fontId="35" fillId="0" borderId="0" applyFill="0" applyBorder="0" applyAlignment="0"/>
    <xf numFmtId="218" fontId="70" fillId="0" borderId="0" applyFill="0" applyBorder="0" applyAlignment="0"/>
    <xf numFmtId="219" fontId="70" fillId="0" borderId="0" applyFill="0" applyBorder="0" applyAlignment="0"/>
    <xf numFmtId="0" fontId="121" fillId="0" borderId="0">
      <alignment horizontal="center"/>
    </xf>
    <xf numFmtId="0" fontId="121" fillId="0" borderId="0">
      <alignment horizontal="center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118" fillId="0" borderId="0" applyNumberFormat="0" applyFill="0" applyBorder="0" applyAlignment="0" applyProtection="0"/>
    <xf numFmtId="0" fontId="123" fillId="0" borderId="0" applyNumberFormat="0" applyFill="0" applyBorder="0" applyAlignment="0" applyProtection="0">
      <alignment vertical="center"/>
    </xf>
    <xf numFmtId="0" fontId="60" fillId="32" borderId="0" applyNumberFormat="0" applyBorder="0" applyAlignment="0" applyProtection="0">
      <alignment vertical="center"/>
    </xf>
    <xf numFmtId="0" fontId="60" fillId="32" borderId="0" applyNumberFormat="0" applyBorder="0" applyAlignment="0" applyProtection="0">
      <alignment vertical="center"/>
    </xf>
    <xf numFmtId="0" fontId="61" fillId="51" borderId="0" applyNumberFormat="0" applyBorder="0" applyAlignment="0" applyProtection="0">
      <alignment vertical="center"/>
    </xf>
    <xf numFmtId="0" fontId="60" fillId="32" borderId="0" applyNumberFormat="0" applyBorder="0" applyAlignment="0" applyProtection="0">
      <alignment vertical="center"/>
    </xf>
    <xf numFmtId="0" fontId="62" fillId="32" borderId="0" applyNumberFormat="0" applyBorder="0" applyAlignment="0" applyProtection="0">
      <alignment vertical="center"/>
    </xf>
    <xf numFmtId="0" fontId="60" fillId="32" borderId="0" applyNumberFormat="0" applyBorder="0" applyAlignment="0" applyProtection="0">
      <alignment vertical="center"/>
    </xf>
    <xf numFmtId="0" fontId="60" fillId="32" borderId="0" applyNumberFormat="0" applyBorder="0" applyAlignment="0" applyProtection="0">
      <alignment vertical="center"/>
    </xf>
    <xf numFmtId="0" fontId="60" fillId="32" borderId="0" applyNumberFormat="0" applyBorder="0" applyAlignment="0" applyProtection="0">
      <alignment vertical="center"/>
    </xf>
    <xf numFmtId="0" fontId="60" fillId="33" borderId="0" applyNumberFormat="0" applyBorder="0" applyAlignment="0" applyProtection="0">
      <alignment vertical="center"/>
    </xf>
    <xf numFmtId="0" fontId="60" fillId="33" borderId="0" applyNumberFormat="0" applyBorder="0" applyAlignment="0" applyProtection="0">
      <alignment vertical="center"/>
    </xf>
    <xf numFmtId="0" fontId="61" fillId="33" borderId="0" applyNumberFormat="0" applyBorder="0" applyAlignment="0" applyProtection="0">
      <alignment vertical="center"/>
    </xf>
    <xf numFmtId="0" fontId="60" fillId="33" borderId="0" applyNumberFormat="0" applyBorder="0" applyAlignment="0" applyProtection="0">
      <alignment vertical="center"/>
    </xf>
    <xf numFmtId="0" fontId="62" fillId="33" borderId="0" applyNumberFormat="0" applyBorder="0" applyAlignment="0" applyProtection="0">
      <alignment vertical="center"/>
    </xf>
    <xf numFmtId="0" fontId="60" fillId="33" borderId="0" applyNumberFormat="0" applyBorder="0" applyAlignment="0" applyProtection="0">
      <alignment vertical="center"/>
    </xf>
    <xf numFmtId="0" fontId="60" fillId="33" borderId="0" applyNumberFormat="0" applyBorder="0" applyAlignment="0" applyProtection="0">
      <alignment vertical="center"/>
    </xf>
    <xf numFmtId="0" fontId="60" fillId="34" borderId="0" applyNumberFormat="0" applyBorder="0" applyAlignment="0" applyProtection="0">
      <alignment vertical="center"/>
    </xf>
    <xf numFmtId="0" fontId="60" fillId="34" borderId="0" applyNumberFormat="0" applyBorder="0" applyAlignment="0" applyProtection="0">
      <alignment vertical="center"/>
    </xf>
    <xf numFmtId="0" fontId="61" fillId="34" borderId="0" applyNumberFormat="0" applyBorder="0" applyAlignment="0" applyProtection="0">
      <alignment vertical="center"/>
    </xf>
    <xf numFmtId="0" fontId="60" fillId="34" borderId="0" applyNumberFormat="0" applyBorder="0" applyAlignment="0" applyProtection="0">
      <alignment vertical="center"/>
    </xf>
    <xf numFmtId="0" fontId="62" fillId="34" borderId="0" applyNumberFormat="0" applyBorder="0" applyAlignment="0" applyProtection="0">
      <alignment vertical="center"/>
    </xf>
    <xf numFmtId="0" fontId="60" fillId="34" borderId="0" applyNumberFormat="0" applyBorder="0" applyAlignment="0" applyProtection="0">
      <alignment vertical="center"/>
    </xf>
    <xf numFmtId="0" fontId="60" fillId="34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1" fillId="52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2" fillId="29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0" fillId="29" borderId="0" applyNumberFormat="0" applyBorder="0" applyAlignment="0" applyProtection="0">
      <alignment vertical="center"/>
    </xf>
    <xf numFmtId="0" fontId="60" fillId="30" borderId="0" applyNumberFormat="0" applyBorder="0" applyAlignment="0" applyProtection="0">
      <alignment vertical="center"/>
    </xf>
    <xf numFmtId="0" fontId="60" fillId="30" borderId="0" applyNumberFormat="0" applyBorder="0" applyAlignment="0" applyProtection="0">
      <alignment vertical="center"/>
    </xf>
    <xf numFmtId="0" fontId="61" fillId="30" borderId="0" applyNumberFormat="0" applyBorder="0" applyAlignment="0" applyProtection="0">
      <alignment vertical="center"/>
    </xf>
    <xf numFmtId="0" fontId="60" fillId="30" borderId="0" applyNumberFormat="0" applyBorder="0" applyAlignment="0" applyProtection="0">
      <alignment vertical="center"/>
    </xf>
    <xf numFmtId="0" fontId="62" fillId="30" borderId="0" applyNumberFormat="0" applyBorder="0" applyAlignment="0" applyProtection="0">
      <alignment vertical="center"/>
    </xf>
    <xf numFmtId="0" fontId="60" fillId="30" borderId="0" applyNumberFormat="0" applyBorder="0" applyAlignment="0" applyProtection="0">
      <alignment vertical="center"/>
    </xf>
    <xf numFmtId="0" fontId="60" fillId="30" borderId="0" applyNumberFormat="0" applyBorder="0" applyAlignment="0" applyProtection="0">
      <alignment vertical="center"/>
    </xf>
    <xf numFmtId="0" fontId="60" fillId="35" borderId="0" applyNumberFormat="0" applyBorder="0" applyAlignment="0" applyProtection="0">
      <alignment vertical="center"/>
    </xf>
    <xf numFmtId="0" fontId="60" fillId="35" borderId="0" applyNumberFormat="0" applyBorder="0" applyAlignment="0" applyProtection="0">
      <alignment vertical="center"/>
    </xf>
    <xf numFmtId="0" fontId="61" fillId="35" borderId="0" applyNumberFormat="0" applyBorder="0" applyAlignment="0" applyProtection="0">
      <alignment vertical="center"/>
    </xf>
    <xf numFmtId="0" fontId="60" fillId="35" borderId="0" applyNumberFormat="0" applyBorder="0" applyAlignment="0" applyProtection="0">
      <alignment vertical="center"/>
    </xf>
    <xf numFmtId="0" fontId="62" fillId="35" borderId="0" applyNumberFormat="0" applyBorder="0" applyAlignment="0" applyProtection="0">
      <alignment vertical="center"/>
    </xf>
    <xf numFmtId="0" fontId="60" fillId="35" borderId="0" applyNumberFormat="0" applyBorder="0" applyAlignment="0" applyProtection="0">
      <alignment vertical="center"/>
    </xf>
    <xf numFmtId="0" fontId="60" fillId="35" borderId="0" applyNumberFormat="0" applyBorder="0" applyAlignment="0" applyProtection="0">
      <alignment vertical="center"/>
    </xf>
    <xf numFmtId="220" fontId="6" fillId="0" borderId="0"/>
    <xf numFmtId="0" fontId="80" fillId="0" borderId="0"/>
    <xf numFmtId="0" fontId="46" fillId="0" borderId="0"/>
    <xf numFmtId="1" fontId="46" fillId="0" borderId="0" applyNumberFormat="0"/>
    <xf numFmtId="221" fontId="6" fillId="0" borderId="0" applyFont="0" applyFill="0" applyBorder="0" applyAlignment="0" applyProtection="0"/>
    <xf numFmtId="220" fontId="6" fillId="0" borderId="0" applyFont="0" applyFill="0" applyBorder="0" applyAlignment="0" applyProtection="0"/>
    <xf numFmtId="0" fontId="70" fillId="0" borderId="0"/>
    <xf numFmtId="0" fontId="124" fillId="0" borderId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center"/>
    </xf>
    <xf numFmtId="0" fontId="74" fillId="36" borderId="57" applyNumberFormat="0" applyAlignment="0" applyProtection="0">
      <alignment vertical="center"/>
    </xf>
    <xf numFmtId="0" fontId="74" fillId="36" borderId="57" applyNumberFormat="0" applyAlignment="0" applyProtection="0">
      <alignment vertical="center"/>
    </xf>
    <xf numFmtId="0" fontId="127" fillId="36" borderId="57" applyNumberFormat="0" applyAlignment="0" applyProtection="0">
      <alignment vertical="center"/>
    </xf>
    <xf numFmtId="0" fontId="74" fillId="36" borderId="57" applyNumberFormat="0" applyAlignment="0" applyProtection="0">
      <alignment vertical="center"/>
    </xf>
    <xf numFmtId="0" fontId="128" fillId="36" borderId="57" applyNumberFormat="0" applyAlignment="0" applyProtection="0">
      <alignment vertical="center"/>
    </xf>
    <xf numFmtId="0" fontId="74" fillId="36" borderId="57" applyNumberFormat="0" applyAlignment="0" applyProtection="0">
      <alignment vertical="center"/>
    </xf>
    <xf numFmtId="0" fontId="74" fillId="36" borderId="57" applyNumberFormat="0" applyAlignment="0" applyProtection="0">
      <alignment vertical="center"/>
    </xf>
    <xf numFmtId="0" fontId="129" fillId="0" borderId="0">
      <alignment vertical="top" wrapText="1"/>
    </xf>
    <xf numFmtId="0" fontId="104" fillId="27" borderId="0" applyNumberFormat="0" applyBorder="0" applyAlignment="0" applyProtection="0">
      <alignment vertical="center"/>
    </xf>
    <xf numFmtId="0" fontId="104" fillId="27" borderId="0" applyNumberFormat="0" applyBorder="0" applyAlignment="0" applyProtection="0">
      <alignment vertical="center"/>
    </xf>
    <xf numFmtId="0" fontId="130" fillId="27" borderId="0" applyNumberFormat="0" applyBorder="0" applyAlignment="0" applyProtection="0">
      <alignment vertical="center"/>
    </xf>
    <xf numFmtId="0" fontId="104" fillId="27" borderId="0" applyNumberFormat="0" applyBorder="0" applyAlignment="0" applyProtection="0">
      <alignment vertical="center"/>
    </xf>
    <xf numFmtId="0" fontId="131" fillId="27" borderId="0" applyNumberFormat="0" applyBorder="0" applyAlignment="0" applyProtection="0">
      <alignment vertical="center"/>
    </xf>
    <xf numFmtId="0" fontId="104" fillId="27" borderId="0" applyNumberFormat="0" applyBorder="0" applyAlignment="0" applyProtection="0">
      <alignment vertical="center"/>
    </xf>
    <xf numFmtId="0" fontId="104" fillId="27" borderId="0" applyNumberFormat="0" applyBorder="0" applyAlignment="0" applyProtection="0">
      <alignment vertical="center"/>
    </xf>
    <xf numFmtId="56" fontId="7" fillId="0" borderId="0" applyNumberFormat="0" applyFill="0" applyBorder="0" applyAlignment="0" applyProtection="0">
      <alignment horizontal="center"/>
    </xf>
    <xf numFmtId="38" fontId="110" fillId="0" borderId="0" applyFont="0" applyFill="0" applyBorder="0" applyAlignment="0" applyProtection="0"/>
    <xf numFmtId="40" fontId="110" fillId="0" borderId="0" applyFont="0" applyFill="0" applyBorder="0" applyAlignment="0" applyProtection="0"/>
    <xf numFmtId="41" fontId="80" fillId="0" borderId="0" applyFont="0" applyFill="0" applyBorder="0" applyAlignment="0" applyProtection="0"/>
    <xf numFmtId="43" fontId="8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9" fontId="33" fillId="0" borderId="0" applyFont="0" applyFill="0" applyBorder="0" applyAlignment="0" applyProtection="0">
      <alignment vertical="center"/>
    </xf>
    <xf numFmtId="0" fontId="132" fillId="0" borderId="0" applyNumberFormat="0" applyFill="0" applyBorder="0" applyAlignment="0" applyProtection="0">
      <alignment vertical="top"/>
      <protection locked="0"/>
    </xf>
    <xf numFmtId="0" fontId="133" fillId="0" borderId="0" applyNumberFormat="0" applyFill="0" applyBorder="0" applyAlignment="0" applyProtection="0">
      <alignment vertical="center"/>
    </xf>
    <xf numFmtId="0" fontId="134" fillId="0" borderId="0" applyNumberFormat="0" applyFill="0" applyBorder="0" applyAlignment="0" applyProtection="0">
      <alignment vertical="top"/>
      <protection locked="0"/>
    </xf>
    <xf numFmtId="0" fontId="135" fillId="0" borderId="0" applyNumberFormat="0" applyFill="0" applyBorder="0" applyAlignment="0" applyProtection="0">
      <alignment vertical="top"/>
      <protection locked="0"/>
    </xf>
    <xf numFmtId="0" fontId="136" fillId="0" borderId="0" applyNumberFormat="0" applyFill="0" applyBorder="0" applyAlignment="0" applyProtection="0">
      <alignment vertical="top"/>
      <protection locked="0"/>
    </xf>
    <xf numFmtId="0" fontId="135" fillId="0" borderId="0" applyNumberFormat="0" applyFill="0" applyBorder="0" applyAlignment="0" applyProtection="0">
      <alignment vertical="top"/>
      <protection locked="0"/>
    </xf>
    <xf numFmtId="0" fontId="136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6" fillId="0" borderId="0" applyNumberFormat="0" applyFill="0" applyBorder="0" applyAlignment="0" applyProtection="0">
      <alignment vertical="top"/>
      <protection locked="0"/>
    </xf>
    <xf numFmtId="0" fontId="138" fillId="0" borderId="0" applyNumberFormat="0" applyFill="0" applyBorder="0" applyAlignment="0" applyProtection="0">
      <alignment vertical="top"/>
      <protection locked="0"/>
    </xf>
    <xf numFmtId="0" fontId="139" fillId="0" borderId="0" applyNumberFormat="0" applyFill="0" applyBorder="0" applyAlignment="0" applyProtection="0">
      <alignment vertical="top"/>
      <protection locked="0"/>
    </xf>
    <xf numFmtId="0" fontId="140" fillId="0" borderId="0" applyNumberFormat="0" applyFill="0" applyBorder="0" applyAlignment="0" applyProtection="0">
      <alignment vertical="top"/>
      <protection locked="0"/>
    </xf>
    <xf numFmtId="0" fontId="136" fillId="0" borderId="0" applyNumberFormat="0" applyFill="0" applyBorder="0" applyAlignment="0" applyProtection="0">
      <alignment vertical="top"/>
      <protection locked="0"/>
    </xf>
    <xf numFmtId="0" fontId="139" fillId="0" borderId="0" applyNumberFormat="0" applyFill="0" applyBorder="0" applyAlignment="0" applyProtection="0">
      <alignment vertical="top"/>
      <protection locked="0"/>
    </xf>
    <xf numFmtId="0" fontId="132" fillId="0" borderId="0" applyNumberFormat="0" applyFill="0" applyBorder="0" applyAlignment="0" applyProtection="0">
      <alignment vertical="top"/>
      <protection locked="0"/>
    </xf>
    <xf numFmtId="0" fontId="139" fillId="0" borderId="0" applyNumberFormat="0" applyFill="0" applyBorder="0" applyAlignment="0" applyProtection="0">
      <alignment vertical="top"/>
      <protection locked="0"/>
    </xf>
    <xf numFmtId="0" fontId="141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3" fillId="9" borderId="33" applyNumberForma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02" fillId="0" borderId="63" applyNumberFormat="0" applyFill="0" applyAlignment="0" applyProtection="0">
      <alignment vertical="center"/>
    </xf>
    <xf numFmtId="0" fontId="102" fillId="0" borderId="63" applyNumberFormat="0" applyFill="0" applyAlignment="0" applyProtection="0">
      <alignment vertical="center"/>
    </xf>
    <xf numFmtId="0" fontId="143" fillId="0" borderId="63" applyNumberFormat="0" applyFill="0" applyAlignment="0" applyProtection="0">
      <alignment vertical="center"/>
    </xf>
    <xf numFmtId="0" fontId="102" fillId="0" borderId="63" applyNumberFormat="0" applyFill="0" applyAlignment="0" applyProtection="0">
      <alignment vertical="center"/>
    </xf>
    <xf numFmtId="0" fontId="144" fillId="0" borderId="63" applyNumberFormat="0" applyFill="0" applyAlignment="0" applyProtection="0">
      <alignment vertical="center"/>
    </xf>
    <xf numFmtId="0" fontId="102" fillId="0" borderId="63" applyNumberFormat="0" applyFill="0" applyAlignment="0" applyProtection="0">
      <alignment vertical="center"/>
    </xf>
    <xf numFmtId="0" fontId="102" fillId="0" borderId="63" applyNumberFormat="0" applyFill="0" applyAlignment="0" applyProtection="0">
      <alignment vertical="center"/>
    </xf>
    <xf numFmtId="0" fontId="10" fillId="0" borderId="0"/>
    <xf numFmtId="0" fontId="63" fillId="32" borderId="0" applyNumberFormat="0" applyBorder="0" applyAlignment="0" applyProtection="0">
      <alignment vertical="center"/>
    </xf>
    <xf numFmtId="0" fontId="63" fillId="33" borderId="0" applyNumberFormat="0" applyBorder="0" applyAlignment="0" applyProtection="0">
      <alignment vertical="center"/>
    </xf>
    <xf numFmtId="0" fontId="63" fillId="34" borderId="0" applyNumberFormat="0" applyBorder="0" applyAlignment="0" applyProtection="0">
      <alignment vertical="center"/>
    </xf>
    <xf numFmtId="0" fontId="63" fillId="29" borderId="0" applyNumberFormat="0" applyBorder="0" applyAlignment="0" applyProtection="0">
      <alignment vertical="center"/>
    </xf>
    <xf numFmtId="0" fontId="63" fillId="30" borderId="0" applyNumberFormat="0" applyBorder="0" applyAlignment="0" applyProtection="0">
      <alignment vertical="center"/>
    </xf>
    <xf numFmtId="0" fontId="63" fillId="35" borderId="0" applyNumberFormat="0" applyBorder="0" applyAlignment="0" applyProtection="0">
      <alignment vertical="center"/>
    </xf>
    <xf numFmtId="0" fontId="145" fillId="0" borderId="0" applyNumberFormat="0" applyFill="0" applyBorder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67" fillId="16" borderId="0" applyNumberFormat="0" applyBorder="0" applyAlignment="0" applyProtection="0">
      <alignment vertical="center"/>
    </xf>
    <xf numFmtId="0" fontId="67" fillId="16" borderId="0" applyNumberFormat="0" applyBorder="0" applyAlignment="0" applyProtection="0">
      <alignment vertical="center"/>
    </xf>
    <xf numFmtId="0" fontId="147" fillId="16" borderId="0" applyNumberFormat="0" applyBorder="0" applyAlignment="0" applyProtection="0">
      <alignment vertical="center"/>
    </xf>
    <xf numFmtId="0" fontId="67" fillId="16" borderId="0" applyNumberFormat="0" applyBorder="0" applyAlignment="0" applyProtection="0">
      <alignment vertical="center"/>
    </xf>
    <xf numFmtId="0" fontId="148" fillId="16" borderId="0" applyNumberFormat="0" applyBorder="0" applyAlignment="0" applyProtection="0">
      <alignment vertical="center"/>
    </xf>
    <xf numFmtId="0" fontId="67" fillId="16" borderId="0" applyNumberFormat="0" applyBorder="0" applyAlignment="0" applyProtection="0">
      <alignment vertical="center"/>
    </xf>
    <xf numFmtId="0" fontId="26" fillId="13" borderId="68" applyNumberFormat="0" applyAlignment="0" applyProtection="0">
      <alignment vertical="center"/>
    </xf>
    <xf numFmtId="0" fontId="67" fillId="16" borderId="0" applyNumberFormat="0" applyBorder="0" applyAlignment="0" applyProtection="0">
      <alignment vertical="center"/>
    </xf>
    <xf numFmtId="0" fontId="26" fillId="13" borderId="68" applyNumberFormat="0" applyAlignment="0" applyProtection="0">
      <alignment vertical="center"/>
    </xf>
    <xf numFmtId="0" fontId="149" fillId="16" borderId="0" applyNumberFormat="0" applyBorder="0" applyAlignment="0" applyProtection="0">
      <alignment vertical="center"/>
    </xf>
    <xf numFmtId="0" fontId="6" fillId="0" borderId="70"/>
    <xf numFmtId="0" fontId="150" fillId="0" borderId="49" applyNumberFormat="0" applyFont="0" applyFill="0" applyBorder="0" applyProtection="0">
      <alignment vertical="top" wrapText="1"/>
    </xf>
    <xf numFmtId="0" fontId="150" fillId="0" borderId="49" applyNumberFormat="0" applyFont="0" applyFill="0" applyBorder="0" applyProtection="0">
      <alignment vertical="center" wrapText="1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5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40" fontId="155" fillId="0" borderId="0" applyFont="0" applyFill="0" applyBorder="0" applyAlignment="0" applyProtection="0"/>
    <xf numFmtId="38" fontId="155" fillId="0" borderId="0" applyFont="0" applyFill="0" applyBorder="0" applyAlignment="0" applyProtection="0"/>
    <xf numFmtId="38" fontId="8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38" fontId="156" fillId="0" borderId="0" applyFont="0" applyFill="0" applyBorder="0" applyAlignment="0" applyProtection="0"/>
    <xf numFmtId="38" fontId="156" fillId="0" borderId="0" applyFont="0" applyFill="0" applyBorder="0" applyAlignment="0" applyProtection="0"/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200" fontId="80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38" fontId="8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157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0" fontId="93" fillId="0" borderId="59" applyNumberFormat="0" applyFill="0" applyAlignment="0" applyProtection="0">
      <alignment vertical="center"/>
    </xf>
    <xf numFmtId="0" fontId="93" fillId="0" borderId="59" applyNumberFormat="0" applyFill="0" applyAlignment="0" applyProtection="0">
      <alignment vertical="center"/>
    </xf>
    <xf numFmtId="0" fontId="158" fillId="0" borderId="71" applyNumberFormat="0" applyFill="0" applyAlignment="0" applyProtection="0">
      <alignment vertical="center"/>
    </xf>
    <xf numFmtId="0" fontId="93" fillId="0" borderId="59" applyNumberFormat="0" applyFill="0" applyAlignment="0" applyProtection="0">
      <alignment vertical="center"/>
    </xf>
    <xf numFmtId="0" fontId="93" fillId="0" borderId="59" applyNumberFormat="0" applyFill="0" applyAlignment="0" applyProtection="0">
      <alignment vertical="center"/>
    </xf>
    <xf numFmtId="0" fontId="93" fillId="0" borderId="59" applyNumberFormat="0" applyFill="0" applyAlignment="0" applyProtection="0">
      <alignment vertical="center"/>
    </xf>
    <xf numFmtId="0" fontId="93" fillId="0" borderId="59" applyNumberFormat="0" applyFill="0" applyAlignment="0" applyProtection="0">
      <alignment vertical="center"/>
    </xf>
    <xf numFmtId="0" fontId="93" fillId="0" borderId="59" applyNumberFormat="0" applyFill="0" applyAlignment="0" applyProtection="0">
      <alignment vertical="center"/>
    </xf>
    <xf numFmtId="0" fontId="95" fillId="0" borderId="60" applyNumberFormat="0" applyFill="0" applyAlignment="0" applyProtection="0">
      <alignment vertical="center"/>
    </xf>
    <xf numFmtId="0" fontId="95" fillId="0" borderId="60" applyNumberFormat="0" applyFill="0" applyAlignment="0" applyProtection="0">
      <alignment vertical="center"/>
    </xf>
    <xf numFmtId="0" fontId="159" fillId="0" borderId="60" applyNumberFormat="0" applyFill="0" applyAlignment="0" applyProtection="0">
      <alignment vertical="center"/>
    </xf>
    <xf numFmtId="0" fontId="95" fillId="0" borderId="60" applyNumberFormat="0" applyFill="0" applyAlignment="0" applyProtection="0">
      <alignment vertical="center"/>
    </xf>
    <xf numFmtId="0" fontId="95" fillId="0" borderId="60" applyNumberFormat="0" applyFill="0" applyAlignment="0" applyProtection="0">
      <alignment vertical="center"/>
    </xf>
    <xf numFmtId="0" fontId="95" fillId="0" borderId="60" applyNumberFormat="0" applyFill="0" applyAlignment="0" applyProtection="0">
      <alignment vertical="center"/>
    </xf>
    <xf numFmtId="0" fontId="95" fillId="0" borderId="60" applyNumberFormat="0" applyFill="0" applyAlignment="0" applyProtection="0">
      <alignment vertical="center"/>
    </xf>
    <xf numFmtId="0" fontId="95" fillId="0" borderId="60" applyNumberFormat="0" applyFill="0" applyAlignment="0" applyProtection="0">
      <alignment vertical="center"/>
    </xf>
    <xf numFmtId="0" fontId="97" fillId="0" borderId="61" applyNumberFormat="0" applyFill="0" applyAlignment="0" applyProtection="0">
      <alignment vertical="center"/>
    </xf>
    <xf numFmtId="0" fontId="97" fillId="0" borderId="61" applyNumberFormat="0" applyFill="0" applyAlignment="0" applyProtection="0">
      <alignment vertical="center"/>
    </xf>
    <xf numFmtId="0" fontId="160" fillId="0" borderId="72" applyNumberFormat="0" applyFill="0" applyAlignment="0" applyProtection="0">
      <alignment vertical="center"/>
    </xf>
    <xf numFmtId="0" fontId="97" fillId="0" borderId="61" applyNumberFormat="0" applyFill="0" applyAlignment="0" applyProtection="0">
      <alignment vertical="center"/>
    </xf>
    <xf numFmtId="0" fontId="97" fillId="0" borderId="61" applyNumberFormat="0" applyFill="0" applyAlignment="0" applyProtection="0">
      <alignment vertical="center"/>
    </xf>
    <xf numFmtId="0" fontId="97" fillId="0" borderId="61" applyNumberFormat="0" applyFill="0" applyAlignment="0" applyProtection="0">
      <alignment vertical="center"/>
    </xf>
    <xf numFmtId="0" fontId="97" fillId="0" borderId="61" applyNumberFormat="0" applyFill="0" applyAlignment="0" applyProtection="0">
      <alignment vertical="center"/>
    </xf>
    <xf numFmtId="0" fontId="97" fillId="0" borderId="61" applyNumberFormat="0" applyFill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160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161" fillId="0" borderId="0">
      <alignment horizontal="center"/>
    </xf>
    <xf numFmtId="0" fontId="162" fillId="0" borderId="0"/>
    <xf numFmtId="0" fontId="11" fillId="0" borderId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222" fontId="167" fillId="0" borderId="0">
      <alignment vertical="center"/>
    </xf>
    <xf numFmtId="223" fontId="167" fillId="0" borderId="0" applyFont="0" applyFill="0" applyBorder="0" applyProtection="0">
      <alignment vertical="center"/>
    </xf>
    <xf numFmtId="0" fontId="11" fillId="0" borderId="0"/>
    <xf numFmtId="0" fontId="168" fillId="0" borderId="0"/>
    <xf numFmtId="0" fontId="6" fillId="0" borderId="0">
      <alignment vertical="center"/>
    </xf>
    <xf numFmtId="224" fontId="45" fillId="0" borderId="0"/>
    <xf numFmtId="225" fontId="6" fillId="0" borderId="0" applyFont="0" applyFill="0" applyBorder="0" applyProtection="0">
      <alignment vertical="center"/>
    </xf>
    <xf numFmtId="0" fontId="169" fillId="0" borderId="0">
      <alignment vertical="top"/>
    </xf>
    <xf numFmtId="0" fontId="170" fillId="0" borderId="0" applyFill="0" applyAlignment="0">
      <alignment vertical="top"/>
    </xf>
    <xf numFmtId="0" fontId="18" fillId="0" borderId="3" applyNumberFormat="0" applyFont="0" applyBorder="0" applyAlignment="0">
      <alignment horizontal="center"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172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8" fontId="173" fillId="0" borderId="0" applyFont="0" applyFill="0" applyBorder="0" applyAlignment="0" applyProtection="0"/>
    <xf numFmtId="6" fontId="6" fillId="0" borderId="0" applyFont="0" applyFill="0" applyBorder="0" applyAlignment="0" applyProtection="0"/>
    <xf numFmtId="0" fontId="174" fillId="0" borderId="7"/>
    <xf numFmtId="0" fontId="54" fillId="0" borderId="49" applyFill="0" applyBorder="0" applyProtection="0">
      <alignment horizontal="left" vertical="center"/>
    </xf>
    <xf numFmtId="0" fontId="54" fillId="0" borderId="49" applyFill="0" applyBorder="0" applyProtection="0">
      <alignment horizontal="left" vertical="center"/>
    </xf>
    <xf numFmtId="0" fontId="54" fillId="0" borderId="49" applyFill="0" applyBorder="0" applyProtection="0">
      <alignment horizontal="left" vertical="center"/>
    </xf>
    <xf numFmtId="0" fontId="54" fillId="0" borderId="49" applyFill="0" applyBorder="0" applyProtection="0">
      <alignment horizontal="left" vertical="center"/>
    </xf>
    <xf numFmtId="0" fontId="137" fillId="0" borderId="0" applyNumberFormat="0" applyFill="0" applyBorder="0" applyAlignment="0" applyProtection="0">
      <alignment vertical="top"/>
      <protection locked="0"/>
    </xf>
    <xf numFmtId="8" fontId="69" fillId="0" borderId="0" applyFont="0" applyFill="0" applyBorder="0" applyAlignment="0" applyProtection="0"/>
    <xf numFmtId="8" fontId="69" fillId="0" borderId="0" applyFont="0" applyFill="0" applyBorder="0" applyAlignment="0" applyProtection="0"/>
    <xf numFmtId="8" fontId="69" fillId="0" borderId="0" applyFont="0" applyFill="0" applyBorder="0" applyAlignment="0" applyProtection="0"/>
    <xf numFmtId="8" fontId="69" fillId="0" borderId="0" applyFont="0" applyFill="0" applyBorder="0" applyAlignment="0" applyProtection="0"/>
    <xf numFmtId="8" fontId="69" fillId="0" borderId="0" applyFont="0" applyFill="0" applyBorder="0" applyAlignment="0" applyProtection="0"/>
    <xf numFmtId="8" fontId="69" fillId="0" borderId="0" applyFont="0" applyFill="0" applyBorder="0" applyAlignment="0" applyProtection="0"/>
    <xf numFmtId="6" fontId="175" fillId="0" borderId="0" applyFont="0" applyFill="0" applyBorder="0" applyAlignment="0" applyProtection="0">
      <alignment vertical="center"/>
    </xf>
    <xf numFmtId="185" fontId="6" fillId="0" borderId="0" applyFont="0" applyFill="0" applyBorder="0" applyAlignment="0" applyProtection="0"/>
    <xf numFmtId="6" fontId="6" fillId="0" borderId="0" applyFont="0" applyFill="0" applyBorder="0" applyAlignment="0" applyProtection="0">
      <alignment vertical="center"/>
    </xf>
    <xf numFmtId="185" fontId="6" fillId="0" borderId="0" applyFont="0" applyFill="0" applyBorder="0" applyAlignment="0" applyProtection="0"/>
    <xf numFmtId="6" fontId="6" fillId="0" borderId="0" applyFont="0" applyFill="0" applyBorder="0" applyAlignment="0" applyProtection="0">
      <alignment vertical="center"/>
    </xf>
    <xf numFmtId="6" fontId="6" fillId="0" borderId="0" applyFont="0" applyFill="0" applyBorder="0" applyAlignment="0" applyProtection="0">
      <alignment vertical="center"/>
    </xf>
    <xf numFmtId="0" fontId="174" fillId="0" borderId="7"/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27" fillId="10" borderId="62">
      <alignment vertical="center"/>
    </xf>
    <xf numFmtId="0" fontId="6" fillId="0" borderId="0"/>
    <xf numFmtId="0" fontId="57" fillId="0" borderId="0">
      <alignment vertical="center"/>
    </xf>
    <xf numFmtId="0" fontId="8" fillId="0" borderId="0">
      <alignment vertical="center"/>
    </xf>
    <xf numFmtId="0" fontId="8" fillId="0" borderId="0"/>
    <xf numFmtId="0" fontId="6" fillId="0" borderId="0">
      <alignment vertical="center"/>
    </xf>
    <xf numFmtId="0" fontId="8" fillId="0" borderId="0">
      <alignment vertical="center"/>
    </xf>
    <xf numFmtId="0" fontId="6" fillId="0" borderId="0"/>
    <xf numFmtId="0" fontId="6" fillId="0" borderId="0"/>
    <xf numFmtId="0" fontId="17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/>
    <xf numFmtId="0" fontId="17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9" fillId="0" borderId="0"/>
    <xf numFmtId="0" fontId="178" fillId="0" borderId="0">
      <alignment vertical="center"/>
    </xf>
    <xf numFmtId="0" fontId="8" fillId="0" borderId="0">
      <alignment vertical="center"/>
    </xf>
    <xf numFmtId="0" fontId="179" fillId="0" borderId="0">
      <alignment vertical="center"/>
    </xf>
    <xf numFmtId="0" fontId="6" fillId="0" borderId="0"/>
    <xf numFmtId="0" fontId="168" fillId="0" borderId="0"/>
    <xf numFmtId="0" fontId="8" fillId="0" borderId="0">
      <alignment vertical="center"/>
    </xf>
    <xf numFmtId="0" fontId="180" fillId="0" borderId="0">
      <alignment vertical="center"/>
    </xf>
    <xf numFmtId="0" fontId="1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1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5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5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1" fillId="0" borderId="0"/>
    <xf numFmtId="0" fontId="55" fillId="0" borderId="0">
      <alignment vertical="center"/>
    </xf>
    <xf numFmtId="0" fontId="6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182" fillId="0" borderId="0">
      <alignment vertical="center"/>
    </xf>
    <xf numFmtId="0" fontId="6" fillId="0" borderId="0"/>
    <xf numFmtId="0" fontId="8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5" fillId="0" borderId="0">
      <alignment vertical="center"/>
    </xf>
    <xf numFmtId="0" fontId="1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5" fillId="0" borderId="0">
      <alignment vertical="center"/>
    </xf>
    <xf numFmtId="0" fontId="6" fillId="0" borderId="0">
      <alignment vertical="center"/>
    </xf>
    <xf numFmtId="0" fontId="18" fillId="0" borderId="0">
      <alignment vertical="center"/>
    </xf>
    <xf numFmtId="0" fontId="6" fillId="0" borderId="0"/>
    <xf numFmtId="0" fontId="6" fillId="0" borderId="0">
      <alignment vertical="center"/>
    </xf>
    <xf numFmtId="0" fontId="183" fillId="0" borderId="0">
      <alignment vertical="center"/>
    </xf>
    <xf numFmtId="0" fontId="179" fillId="0" borderId="0">
      <alignment vertical="center"/>
    </xf>
    <xf numFmtId="0" fontId="55" fillId="0" borderId="0">
      <alignment vertical="center"/>
    </xf>
    <xf numFmtId="0" fontId="18" fillId="0" borderId="0">
      <alignment vertical="center"/>
    </xf>
    <xf numFmtId="0" fontId="6" fillId="0" borderId="0"/>
    <xf numFmtId="0" fontId="55" fillId="0" borderId="0">
      <alignment vertical="center"/>
    </xf>
    <xf numFmtId="0" fontId="183" fillId="0" borderId="0">
      <alignment vertical="center"/>
    </xf>
    <xf numFmtId="0" fontId="57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6" fillId="0" borderId="0">
      <alignment vertical="center"/>
    </xf>
    <xf numFmtId="0" fontId="184" fillId="0" borderId="0">
      <alignment vertical="center"/>
    </xf>
    <xf numFmtId="0" fontId="8" fillId="0" borderId="0">
      <alignment vertical="center"/>
    </xf>
    <xf numFmtId="0" fontId="55" fillId="0" borderId="0">
      <alignment vertical="center"/>
    </xf>
    <xf numFmtId="0" fontId="6" fillId="0" borderId="0"/>
    <xf numFmtId="0" fontId="57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6" fillId="0" borderId="0"/>
    <xf numFmtId="0" fontId="8" fillId="0" borderId="0">
      <alignment vertical="center"/>
    </xf>
    <xf numFmtId="0" fontId="6" fillId="0" borderId="0"/>
    <xf numFmtId="0" fontId="183" fillId="0" borderId="0">
      <alignment vertical="center"/>
    </xf>
    <xf numFmtId="0" fontId="6" fillId="0" borderId="0"/>
    <xf numFmtId="0" fontId="181" fillId="0" borderId="0"/>
    <xf numFmtId="0" fontId="185" fillId="0" borderId="0">
      <alignment vertical="center"/>
    </xf>
    <xf numFmtId="0" fontId="6" fillId="0" borderId="0"/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1" fillId="0" borderId="0"/>
    <xf numFmtId="0" fontId="185" fillId="0" borderId="0">
      <alignment vertical="center"/>
    </xf>
    <xf numFmtId="0" fontId="6" fillId="0" borderId="0"/>
    <xf numFmtId="0" fontId="6" fillId="0" borderId="0">
      <alignment vertical="center"/>
    </xf>
    <xf numFmtId="0" fontId="55" fillId="0" borderId="0">
      <alignment vertical="center"/>
    </xf>
    <xf numFmtId="0" fontId="80" fillId="0" borderId="0">
      <alignment vertical="center"/>
    </xf>
    <xf numFmtId="0" fontId="181" fillId="0" borderId="0"/>
    <xf numFmtId="0" fontId="18" fillId="0" borderId="0"/>
    <xf numFmtId="0" fontId="181" fillId="0" borderId="0"/>
    <xf numFmtId="0" fontId="8" fillId="0" borderId="0">
      <alignment vertical="center"/>
    </xf>
    <xf numFmtId="0" fontId="181" fillId="0" borderId="0"/>
    <xf numFmtId="0" fontId="18" fillId="0" borderId="0">
      <alignment vertical="center"/>
    </xf>
    <xf numFmtId="0" fontId="181" fillId="0" borderId="0"/>
    <xf numFmtId="0" fontId="55" fillId="0" borderId="0">
      <alignment vertical="center"/>
    </xf>
    <xf numFmtId="0" fontId="6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6" fillId="0" borderId="0"/>
    <xf numFmtId="0" fontId="6" fillId="0" borderId="0">
      <alignment vertical="center"/>
    </xf>
    <xf numFmtId="0" fontId="8" fillId="0" borderId="0">
      <alignment vertical="center"/>
    </xf>
    <xf numFmtId="0" fontId="6" fillId="0" borderId="0"/>
    <xf numFmtId="0" fontId="6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6" fillId="0" borderId="0">
      <alignment vertical="center"/>
    </xf>
    <xf numFmtId="0" fontId="6" fillId="0" borderId="0"/>
    <xf numFmtId="0" fontId="8" fillId="0" borderId="0">
      <alignment vertical="center"/>
    </xf>
    <xf numFmtId="0" fontId="187" fillId="0" borderId="0">
      <alignment vertical="center"/>
    </xf>
    <xf numFmtId="0" fontId="18" fillId="0" borderId="0">
      <alignment vertical="center"/>
    </xf>
    <xf numFmtId="0" fontId="6" fillId="0" borderId="0">
      <alignment vertical="center"/>
    </xf>
    <xf numFmtId="0" fontId="6" fillId="0" borderId="0"/>
    <xf numFmtId="0" fontId="187" fillId="0" borderId="0">
      <alignment vertical="center"/>
    </xf>
    <xf numFmtId="0" fontId="188" fillId="0" borderId="0">
      <alignment vertical="center"/>
    </xf>
    <xf numFmtId="0" fontId="80" fillId="0" borderId="0"/>
    <xf numFmtId="0" fontId="6" fillId="0" borderId="0"/>
    <xf numFmtId="0" fontId="69" fillId="0" borderId="0">
      <alignment vertical="center"/>
    </xf>
    <xf numFmtId="0" fontId="178" fillId="0" borderId="0">
      <alignment vertical="center"/>
    </xf>
    <xf numFmtId="0" fontId="175" fillId="0" borderId="0">
      <alignment vertical="center"/>
    </xf>
    <xf numFmtId="0" fontId="8" fillId="0" borderId="0">
      <alignment vertical="center"/>
    </xf>
    <xf numFmtId="0" fontId="178" fillId="0" borderId="0">
      <alignment vertical="center"/>
    </xf>
    <xf numFmtId="0" fontId="6" fillId="0" borderId="0">
      <alignment vertical="center"/>
    </xf>
    <xf numFmtId="0" fontId="178" fillId="0" borderId="0">
      <alignment vertical="center"/>
    </xf>
    <xf numFmtId="0" fontId="6" fillId="0" borderId="0"/>
    <xf numFmtId="0" fontId="11" fillId="0" borderId="0"/>
    <xf numFmtId="0" fontId="8" fillId="0" borderId="0">
      <alignment vertical="center"/>
    </xf>
    <xf numFmtId="0" fontId="6" fillId="0" borderId="0"/>
    <xf numFmtId="0" fontId="6" fillId="0" borderId="0"/>
    <xf numFmtId="0" fontId="6" fillId="0" borderId="0"/>
    <xf numFmtId="0" fontId="182" fillId="0" borderId="0">
      <alignment vertical="center"/>
    </xf>
    <xf numFmtId="0" fontId="129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2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6" fillId="0" borderId="0"/>
    <xf numFmtId="0" fontId="8" fillId="0" borderId="0">
      <alignment vertical="center"/>
    </xf>
    <xf numFmtId="0" fontId="6" fillId="0" borderId="0">
      <alignment vertical="center"/>
    </xf>
    <xf numFmtId="0" fontId="55" fillId="0" borderId="0">
      <alignment vertical="center"/>
    </xf>
    <xf numFmtId="0" fontId="8" fillId="0" borderId="0">
      <alignment vertical="center"/>
    </xf>
    <xf numFmtId="0" fontId="190" fillId="0" borderId="0">
      <alignment vertical="center"/>
    </xf>
    <xf numFmtId="0" fontId="55" fillId="0" borderId="0">
      <alignment vertical="center"/>
    </xf>
    <xf numFmtId="0" fontId="129" fillId="0" borderId="0">
      <alignment vertical="center"/>
    </xf>
    <xf numFmtId="0" fontId="190" fillId="0" borderId="0">
      <alignment vertical="center"/>
    </xf>
    <xf numFmtId="0" fontId="55" fillId="0" borderId="0">
      <alignment vertical="center"/>
    </xf>
    <xf numFmtId="0" fontId="6" fillId="0" borderId="0">
      <alignment vertical="center"/>
    </xf>
    <xf numFmtId="0" fontId="55" fillId="0" borderId="0">
      <alignment vertical="center"/>
    </xf>
    <xf numFmtId="0" fontId="57" fillId="0" borderId="0">
      <alignment vertical="center"/>
    </xf>
    <xf numFmtId="0" fontId="6" fillId="0" borderId="0"/>
    <xf numFmtId="0" fontId="178" fillId="0" borderId="0">
      <alignment vertical="center"/>
    </xf>
    <xf numFmtId="0" fontId="184" fillId="0" borderId="0">
      <alignment vertical="center"/>
    </xf>
    <xf numFmtId="0" fontId="8" fillId="0" borderId="0">
      <alignment vertical="center"/>
    </xf>
    <xf numFmtId="0" fontId="178" fillId="0" borderId="0">
      <alignment vertical="center"/>
    </xf>
    <xf numFmtId="0" fontId="178" fillId="0" borderId="0">
      <alignment vertical="center"/>
    </xf>
    <xf numFmtId="0" fontId="6" fillId="0" borderId="0"/>
    <xf numFmtId="0" fontId="6" fillId="0" borderId="0"/>
    <xf numFmtId="0" fontId="178" fillId="0" borderId="0">
      <alignment vertical="center"/>
    </xf>
    <xf numFmtId="0" fontId="55" fillId="0" borderId="0">
      <alignment vertical="center"/>
    </xf>
    <xf numFmtId="0" fontId="129" fillId="0" borderId="0">
      <alignment vertical="center"/>
    </xf>
    <xf numFmtId="0" fontId="6" fillId="0" borderId="0">
      <alignment vertical="center"/>
    </xf>
    <xf numFmtId="0" fontId="191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192" fillId="0" borderId="0">
      <alignment vertical="center"/>
    </xf>
    <xf numFmtId="0" fontId="3" fillId="0" borderId="0">
      <alignment vertical="center"/>
    </xf>
    <xf numFmtId="0" fontId="192" fillId="0" borderId="0">
      <alignment vertical="center"/>
    </xf>
    <xf numFmtId="0" fontId="3" fillId="0" borderId="0">
      <alignment vertical="center"/>
    </xf>
    <xf numFmtId="0" fontId="19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7" fillId="0" borderId="0">
      <alignment vertical="center"/>
    </xf>
    <xf numFmtId="0" fontId="6" fillId="0" borderId="0"/>
    <xf numFmtId="0" fontId="8" fillId="0" borderId="0">
      <alignment vertical="center"/>
    </xf>
    <xf numFmtId="0" fontId="6" fillId="0" borderId="0"/>
    <xf numFmtId="0" fontId="129" fillId="0" borderId="0">
      <alignment vertical="center"/>
    </xf>
    <xf numFmtId="0" fontId="55" fillId="0" borderId="0">
      <alignment vertical="center"/>
    </xf>
    <xf numFmtId="0" fontId="8" fillId="0" borderId="0">
      <alignment vertical="center"/>
    </xf>
    <xf numFmtId="0" fontId="55" fillId="0" borderId="0">
      <alignment vertical="center"/>
    </xf>
    <xf numFmtId="0" fontId="6" fillId="0" borderId="0">
      <alignment vertical="center"/>
    </xf>
    <xf numFmtId="0" fontId="55" fillId="0" borderId="0">
      <alignment vertical="center"/>
    </xf>
    <xf numFmtId="0" fontId="3" fillId="0" borderId="0">
      <alignment vertical="center"/>
    </xf>
    <xf numFmtId="0" fontId="192" fillId="0" borderId="0">
      <alignment vertical="center"/>
    </xf>
    <xf numFmtId="0" fontId="3" fillId="0" borderId="0">
      <alignment vertical="center"/>
    </xf>
    <xf numFmtId="0" fontId="192" fillId="0" borderId="0">
      <alignment vertical="center"/>
    </xf>
    <xf numFmtId="0" fontId="3" fillId="0" borderId="0">
      <alignment vertical="center"/>
    </xf>
    <xf numFmtId="0" fontId="192" fillId="0" borderId="0">
      <alignment vertical="center"/>
    </xf>
    <xf numFmtId="0" fontId="3" fillId="0" borderId="0">
      <alignment vertical="center"/>
    </xf>
    <xf numFmtId="0" fontId="192" fillId="0" borderId="0">
      <alignment vertical="center"/>
    </xf>
    <xf numFmtId="0" fontId="3" fillId="0" borderId="0">
      <alignment vertical="center"/>
    </xf>
    <xf numFmtId="0" fontId="192" fillId="0" borderId="0">
      <alignment vertical="center"/>
    </xf>
    <xf numFmtId="0" fontId="3" fillId="0" borderId="0">
      <alignment vertical="center"/>
    </xf>
    <xf numFmtId="0" fontId="192" fillId="0" borderId="0">
      <alignment vertical="center"/>
    </xf>
    <xf numFmtId="0" fontId="3" fillId="0" borderId="0">
      <alignment vertical="center"/>
    </xf>
    <xf numFmtId="0" fontId="192" fillId="0" borderId="0">
      <alignment vertical="center"/>
    </xf>
    <xf numFmtId="0" fontId="3" fillId="0" borderId="0">
      <alignment vertical="center"/>
    </xf>
    <xf numFmtId="0" fontId="192" fillId="0" borderId="0">
      <alignment vertical="center"/>
    </xf>
    <xf numFmtId="0" fontId="3" fillId="0" borderId="0">
      <alignment vertical="center"/>
    </xf>
    <xf numFmtId="0" fontId="192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78" fillId="0" borderId="0">
      <alignment vertical="center"/>
    </xf>
    <xf numFmtId="0" fontId="8" fillId="0" borderId="0">
      <alignment vertical="center"/>
    </xf>
    <xf numFmtId="0" fontId="178" fillId="0" borderId="0">
      <alignment vertical="center"/>
    </xf>
    <xf numFmtId="0" fontId="8" fillId="0" borderId="0">
      <alignment vertical="center"/>
    </xf>
    <xf numFmtId="0" fontId="6" fillId="0" borderId="0"/>
    <xf numFmtId="0" fontId="8" fillId="0" borderId="0">
      <alignment vertical="center"/>
    </xf>
    <xf numFmtId="0" fontId="6" fillId="0" borderId="0"/>
    <xf numFmtId="0" fontId="55" fillId="0" borderId="0"/>
    <xf numFmtId="0" fontId="45" fillId="0" borderId="0"/>
    <xf numFmtId="0" fontId="8" fillId="0" borderId="0">
      <alignment vertical="center"/>
    </xf>
    <xf numFmtId="0" fontId="45" fillId="0" borderId="0"/>
    <xf numFmtId="0" fontId="45" fillId="0" borderId="0"/>
    <xf numFmtId="0" fontId="45" fillId="0" borderId="0"/>
    <xf numFmtId="0" fontId="8" fillId="0" borderId="0"/>
    <xf numFmtId="0" fontId="45" fillId="0" borderId="0"/>
    <xf numFmtId="0" fontId="45" fillId="0" borderId="0"/>
    <xf numFmtId="0" fontId="45" fillId="0" borderId="0"/>
    <xf numFmtId="0" fontId="55" fillId="0" borderId="0">
      <alignment vertical="center"/>
    </xf>
    <xf numFmtId="0" fontId="8" fillId="0" borderId="0">
      <alignment vertical="center"/>
    </xf>
    <xf numFmtId="0" fontId="55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178" fillId="0" borderId="0">
      <alignment vertical="center"/>
    </xf>
    <xf numFmtId="0" fontId="8" fillId="0" borderId="0">
      <alignment vertical="center"/>
    </xf>
    <xf numFmtId="0" fontId="6" fillId="0" borderId="0"/>
    <xf numFmtId="0" fontId="6" fillId="0" borderId="0">
      <alignment vertical="center"/>
    </xf>
    <xf numFmtId="0" fontId="55" fillId="0" borderId="0">
      <alignment vertical="center"/>
    </xf>
    <xf numFmtId="0" fontId="18" fillId="0" borderId="0"/>
    <xf numFmtId="0" fontId="55" fillId="0" borderId="0">
      <alignment vertical="center"/>
    </xf>
    <xf numFmtId="0" fontId="8" fillId="0" borderId="0">
      <alignment vertical="center"/>
    </xf>
    <xf numFmtId="0" fontId="5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18" fillId="0" borderId="0"/>
    <xf numFmtId="0" fontId="57" fillId="0" borderId="0">
      <alignment vertical="center"/>
    </xf>
    <xf numFmtId="0" fontId="178" fillId="0" borderId="0">
      <alignment vertical="center"/>
    </xf>
    <xf numFmtId="0" fontId="55" fillId="0" borderId="0">
      <alignment vertical="center"/>
    </xf>
    <xf numFmtId="0" fontId="8" fillId="0" borderId="0">
      <alignment vertical="center"/>
    </xf>
    <xf numFmtId="0" fontId="6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6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7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7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3" fillId="0" borderId="0"/>
    <xf numFmtId="0" fontId="10" fillId="0" borderId="0"/>
    <xf numFmtId="0" fontId="10" fillId="0" borderId="0"/>
    <xf numFmtId="0" fontId="10" fillId="0" borderId="74"/>
    <xf numFmtId="0" fontId="10" fillId="0" borderId="74"/>
    <xf numFmtId="0" fontId="42" fillId="0" borderId="0"/>
    <xf numFmtId="0" fontId="193" fillId="0" borderId="0"/>
    <xf numFmtId="0" fontId="10" fillId="0" borderId="0"/>
    <xf numFmtId="0" fontId="194" fillId="0" borderId="0" applyNumberFormat="0" applyFill="0" applyBorder="0" applyAlignment="0" applyProtection="0">
      <alignment vertical="top"/>
      <protection locked="0"/>
    </xf>
    <xf numFmtId="0" fontId="195" fillId="0" borderId="0" applyNumberFormat="0" applyFill="0" applyBorder="0" applyAlignment="0" applyProtection="0">
      <alignment vertical="top"/>
      <protection locked="0"/>
    </xf>
    <xf numFmtId="0" fontId="196" fillId="0" borderId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97" fillId="0" borderId="0"/>
    <xf numFmtId="0" fontId="6" fillId="0" borderId="0"/>
    <xf numFmtId="1" fontId="197" fillId="0" borderId="0"/>
    <xf numFmtId="0" fontId="197" fillId="0" borderId="0"/>
    <xf numFmtId="0" fontId="197" fillId="0" borderId="0"/>
    <xf numFmtId="1" fontId="197" fillId="0" borderId="0"/>
    <xf numFmtId="0" fontId="150" fillId="0" borderId="0" applyNumberFormat="0" applyFont="0" applyBorder="0" applyAlignment="0" applyProtection="0"/>
    <xf numFmtId="0" fontId="150" fillId="53" borderId="0" applyNumberFormat="0" applyFont="0" applyBorder="0" applyAlignment="0" applyProtection="0"/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198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199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200" fillId="14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200" fillId="14" borderId="0" applyNumberFormat="0" applyBorder="0" applyAlignment="0" applyProtection="0">
      <alignment vertical="center"/>
    </xf>
    <xf numFmtId="0" fontId="201" fillId="27" borderId="0" applyNumberFormat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203" fillId="36" borderId="57" applyNumberFormat="0" applyAlignment="0" applyProtection="0">
      <alignment vertical="center"/>
    </xf>
    <xf numFmtId="0" fontId="204" fillId="0" borderId="4">
      <alignment horizontal="left" vertical="center"/>
    </xf>
    <xf numFmtId="0" fontId="205" fillId="0" borderId="63" applyNumberFormat="0" applyFill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08" fillId="0" borderId="0" applyNumberFormat="0" applyFill="0" applyBorder="0" applyAlignment="0" applyProtection="0">
      <alignment vertical="center"/>
    </xf>
    <xf numFmtId="0" fontId="209" fillId="0" borderId="59" applyNumberFormat="0" applyFill="0" applyAlignment="0" applyProtection="0">
      <alignment vertical="center"/>
    </xf>
    <xf numFmtId="0" fontId="210" fillId="0" borderId="60" applyNumberFormat="0" applyFill="0" applyAlignment="0" applyProtection="0">
      <alignment vertical="center"/>
    </xf>
    <xf numFmtId="0" fontId="211" fillId="0" borderId="61" applyNumberFormat="0" applyFill="0" applyAlignment="0" applyProtection="0">
      <alignment vertical="center"/>
    </xf>
    <xf numFmtId="0" fontId="211" fillId="0" borderId="0" applyNumberFormat="0" applyFill="0" applyBorder="0" applyAlignment="0" applyProtection="0">
      <alignment vertical="center"/>
    </xf>
    <xf numFmtId="0" fontId="212" fillId="12" borderId="0" applyNumberFormat="0" applyBorder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214" fillId="0" borderId="0">
      <alignment vertical="center"/>
    </xf>
    <xf numFmtId="0" fontId="215" fillId="0" borderId="0" applyFill="0" applyBorder="0" applyAlignment="0"/>
    <xf numFmtId="0" fontId="204" fillId="0" borderId="58" applyNumberFormat="0" applyAlignment="0" applyProtection="0">
      <alignment horizontal="left" vertical="center"/>
    </xf>
    <xf numFmtId="0" fontId="216" fillId="0" borderId="0"/>
    <xf numFmtId="38" fontId="4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07" fillId="22" borderId="91" applyNumberFormat="0" applyFont="0" applyAlignment="0" applyProtection="0"/>
    <xf numFmtId="188" fontId="11" fillId="0" borderId="62" applyFill="0" applyBorder="0" applyProtection="0">
      <alignment vertical="center"/>
    </xf>
    <xf numFmtId="188" fontId="11" fillId="0" borderId="62" applyFill="0" applyBorder="0" applyProtection="0">
      <alignment vertical="center"/>
    </xf>
    <xf numFmtId="0" fontId="207" fillId="19" borderId="96" applyNumberFormat="0" applyAlignment="0" applyProtection="0">
      <alignment vertical="center"/>
    </xf>
    <xf numFmtId="0" fontId="91" fillId="0" borderId="80">
      <alignment horizontal="left" vertical="center"/>
    </xf>
    <xf numFmtId="0" fontId="80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8" fillId="26" borderId="92" applyNumberFormat="0" applyAlignment="0" applyProtection="0"/>
    <xf numFmtId="0" fontId="109" fillId="26" borderId="92" applyNumberFormat="0" applyAlignment="0" applyProtection="0">
      <alignment vertical="center"/>
    </xf>
    <xf numFmtId="4" fontId="113" fillId="27" borderId="93" applyNumberFormat="0" applyProtection="0">
      <alignment vertical="center"/>
    </xf>
    <xf numFmtId="4" fontId="114" fillId="41" borderId="93" applyNumberFormat="0" applyProtection="0">
      <alignment vertical="center"/>
    </xf>
    <xf numFmtId="4" fontId="113" fillId="41" borderId="93" applyNumberFormat="0" applyProtection="0">
      <alignment horizontal="left" vertical="center" indent="1"/>
    </xf>
    <xf numFmtId="0" fontId="113" fillId="41" borderId="93" applyNumberFormat="0" applyProtection="0">
      <alignment horizontal="left" vertical="top" indent="1"/>
    </xf>
    <xf numFmtId="4" fontId="35" fillId="16" borderId="93" applyNumberFormat="0" applyProtection="0">
      <alignment horizontal="right" vertical="center"/>
    </xf>
    <xf numFmtId="4" fontId="35" fillId="2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35" fillId="34" borderId="93" applyNumberFormat="0" applyProtection="0">
      <alignment horizontal="right" vertical="center"/>
    </xf>
    <xf numFmtId="4" fontId="35" fillId="43" borderId="93" applyNumberFormat="0" applyProtection="0">
      <alignment horizontal="right" vertical="center"/>
    </xf>
    <xf numFmtId="4" fontId="35" fillId="24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80" fillId="46" borderId="93" applyNumberFormat="0" applyProtection="0">
      <alignment horizontal="left" vertical="top" indent="1"/>
    </xf>
    <xf numFmtId="0" fontId="80" fillId="42" borderId="93" applyNumberFormat="0" applyProtection="0">
      <alignment horizontal="left" vertical="center" indent="1"/>
    </xf>
    <xf numFmtId="0" fontId="80" fillId="42" borderId="93" applyNumberFormat="0" applyProtection="0">
      <alignment horizontal="left" vertical="top" indent="1"/>
    </xf>
    <xf numFmtId="0" fontId="80" fillId="48" borderId="93" applyNumberFormat="0" applyProtection="0">
      <alignment horizontal="left" vertical="center" indent="1"/>
    </xf>
    <xf numFmtId="0" fontId="80" fillId="48" borderId="93" applyNumberFormat="0" applyProtection="0">
      <alignment horizontal="left" vertical="top" indent="1"/>
    </xf>
    <xf numFmtId="0" fontId="80" fillId="49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top" indent="1"/>
    </xf>
    <xf numFmtId="4" fontId="35" fillId="39" borderId="93" applyNumberFormat="0" applyProtection="0">
      <alignment vertical="center"/>
    </xf>
    <xf numFmtId="4" fontId="116" fillId="39" borderId="93" applyNumberFormat="0" applyProtection="0">
      <alignment vertical="center"/>
    </xf>
    <xf numFmtId="4" fontId="35" fillId="39" borderId="93" applyNumberFormat="0" applyProtection="0">
      <alignment horizontal="left" vertical="center" indent="1"/>
    </xf>
    <xf numFmtId="0" fontId="35" fillId="39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4" fontId="116" fillId="45" borderId="93" applyNumberFormat="0" applyProtection="0">
      <alignment horizontal="right" vertical="center"/>
    </xf>
    <xf numFmtId="4" fontId="35" fillId="47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8" fillId="0" borderId="79" applyNumberFormat="0" applyFont="0" applyBorder="0" applyAlignment="0">
      <alignment horizontal="center"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99" fillId="19" borderId="96" applyNumberFormat="0" applyAlignment="0" applyProtection="0"/>
    <xf numFmtId="0" fontId="72" fillId="26" borderId="96" applyNumberFormat="0" applyAlignment="0" applyProtection="0">
      <alignment vertical="center"/>
    </xf>
    <xf numFmtId="0" fontId="71" fillId="26" borderId="96" applyNumberFormat="0" applyAlignment="0" applyProtection="0"/>
    <xf numFmtId="0" fontId="6" fillId="22" borderId="91" applyNumberFormat="0" applyFont="0" applyAlignment="0" applyProtection="0">
      <alignment vertical="center"/>
    </xf>
    <xf numFmtId="0" fontId="204" fillId="0" borderId="80">
      <alignment horizontal="left" vertical="center"/>
    </xf>
    <xf numFmtId="0" fontId="206" fillId="0" borderId="94" applyNumberFormat="0" applyFill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07" fillId="22" borderId="91" applyNumberFormat="0" applyFont="0" applyAlignment="0" applyProtection="0"/>
    <xf numFmtId="0" fontId="41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0"/>
    <xf numFmtId="0" fontId="3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38" fontId="3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33" fillId="0" borderId="0"/>
    <xf numFmtId="0" fontId="6" fillId="0" borderId="0">
      <alignment vertical="center"/>
    </xf>
    <xf numFmtId="0" fontId="2" fillId="54" borderId="33">
      <alignment vertical="center"/>
    </xf>
    <xf numFmtId="0" fontId="107" fillId="22" borderId="64" applyNumberFormat="0" applyFont="0" applyAlignment="0" applyProtection="0"/>
    <xf numFmtId="188" fontId="11" fillId="0" borderId="62" applyFill="0" applyBorder="0" applyProtection="0">
      <alignment vertical="center"/>
    </xf>
    <xf numFmtId="188" fontId="11" fillId="0" borderId="62" applyFill="0" applyBorder="0" applyProtection="0">
      <alignment vertical="center"/>
    </xf>
    <xf numFmtId="0" fontId="71" fillId="26" borderId="56" applyNumberFormat="0" applyAlignment="0" applyProtection="0"/>
    <xf numFmtId="0" fontId="72" fillId="26" borderId="56" applyNumberFormat="0" applyAlignment="0" applyProtection="0">
      <alignment vertical="center"/>
    </xf>
    <xf numFmtId="0" fontId="91" fillId="0" borderId="75">
      <alignment horizontal="left" vertical="center"/>
    </xf>
    <xf numFmtId="0" fontId="99" fillId="19" borderId="56" applyNumberFormat="0" applyAlignment="0" applyProtection="0"/>
    <xf numFmtId="10" fontId="88" fillId="39" borderId="62" applyNumberFormat="0" applyBorder="0" applyAlignment="0" applyProtection="0"/>
    <xf numFmtId="0" fontId="100" fillId="19" borderId="56" applyNumberFormat="0" applyAlignment="0" applyProtection="0">
      <alignment vertical="center"/>
    </xf>
    <xf numFmtId="0" fontId="80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108" fillId="26" borderId="65" applyNumberFormat="0" applyAlignment="0" applyProtection="0"/>
    <xf numFmtId="0" fontId="109" fillId="26" borderId="65" applyNumberFormat="0" applyAlignment="0" applyProtection="0">
      <alignment vertical="center"/>
    </xf>
    <xf numFmtId="4" fontId="113" fillId="27" borderId="66" applyNumberFormat="0" applyProtection="0">
      <alignment vertical="center"/>
    </xf>
    <xf numFmtId="4" fontId="114" fillId="41" borderId="66" applyNumberFormat="0" applyProtection="0">
      <alignment vertical="center"/>
    </xf>
    <xf numFmtId="4" fontId="113" fillId="41" borderId="66" applyNumberFormat="0" applyProtection="0">
      <alignment horizontal="left" vertical="center" indent="1"/>
    </xf>
    <xf numFmtId="0" fontId="113" fillId="41" borderId="66" applyNumberFormat="0" applyProtection="0">
      <alignment horizontal="left" vertical="top" indent="1"/>
    </xf>
    <xf numFmtId="4" fontId="35" fillId="16" borderId="66" applyNumberFormat="0" applyProtection="0">
      <alignment horizontal="right" vertical="center"/>
    </xf>
    <xf numFmtId="4" fontId="35" fillId="2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35" fillId="34" borderId="66" applyNumberFormat="0" applyProtection="0">
      <alignment horizontal="right" vertical="center"/>
    </xf>
    <xf numFmtId="4" fontId="35" fillId="43" borderId="66" applyNumberFormat="0" applyProtection="0">
      <alignment horizontal="right" vertical="center"/>
    </xf>
    <xf numFmtId="4" fontId="35" fillId="24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80" fillId="46" borderId="66" applyNumberFormat="0" applyProtection="0">
      <alignment horizontal="left" vertical="top" indent="1"/>
    </xf>
    <xf numFmtId="0" fontId="80" fillId="42" borderId="66" applyNumberFormat="0" applyProtection="0">
      <alignment horizontal="left" vertical="center" indent="1"/>
    </xf>
    <xf numFmtId="0" fontId="80" fillId="42" borderId="66" applyNumberFormat="0" applyProtection="0">
      <alignment horizontal="left" vertical="top" indent="1"/>
    </xf>
    <xf numFmtId="0" fontId="80" fillId="48" borderId="66" applyNumberFormat="0" applyProtection="0">
      <alignment horizontal="left" vertical="center" indent="1"/>
    </xf>
    <xf numFmtId="0" fontId="80" fillId="48" borderId="66" applyNumberFormat="0" applyProtection="0">
      <alignment horizontal="left" vertical="top" indent="1"/>
    </xf>
    <xf numFmtId="0" fontId="80" fillId="49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top" indent="1"/>
    </xf>
    <xf numFmtId="4" fontId="35" fillId="39" borderId="66" applyNumberFormat="0" applyProtection="0">
      <alignment vertical="center"/>
    </xf>
    <xf numFmtId="4" fontId="116" fillId="39" borderId="66" applyNumberFormat="0" applyProtection="0">
      <alignment vertical="center"/>
    </xf>
    <xf numFmtId="4" fontId="35" fillId="39" borderId="66" applyNumberFormat="0" applyProtection="0">
      <alignment horizontal="left" vertical="center" indent="1"/>
    </xf>
    <xf numFmtId="0" fontId="35" fillId="39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4" fontId="116" fillId="45" borderId="66" applyNumberFormat="0" applyProtection="0">
      <alignment horizontal="right" vertical="center"/>
    </xf>
    <xf numFmtId="4" fontId="35" fillId="47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8" fillId="0" borderId="3" applyNumberFormat="0" applyFont="0" applyBorder="0" applyAlignment="0">
      <alignment horizontal="center"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99" fillId="19" borderId="56" applyNumberFormat="0" applyAlignment="0" applyProtection="0"/>
    <xf numFmtId="0" fontId="6" fillId="22" borderId="64" applyNumberFormat="0" applyFont="0" applyAlignment="0" applyProtection="0">
      <alignment vertical="center"/>
    </xf>
    <xf numFmtId="0" fontId="204" fillId="0" borderId="75">
      <alignment horizontal="left"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107" fillId="22" borderId="64" applyNumberFormat="0" applyFon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188" fontId="11" fillId="0" borderId="62" applyFill="0" applyBorder="0" applyProtection="0">
      <alignment vertical="center"/>
    </xf>
    <xf numFmtId="188" fontId="11" fillId="0" borderId="62" applyFill="0" applyBorder="0" applyProtection="0">
      <alignment vertical="center"/>
    </xf>
    <xf numFmtId="0" fontId="71" fillId="26" borderId="56" applyNumberFormat="0" applyAlignment="0" applyProtection="0"/>
    <xf numFmtId="0" fontId="72" fillId="26" borderId="56" applyNumberFormat="0" applyAlignment="0" applyProtection="0">
      <alignment vertical="center"/>
    </xf>
    <xf numFmtId="0" fontId="91" fillId="0" borderId="75">
      <alignment horizontal="left" vertical="center"/>
    </xf>
    <xf numFmtId="0" fontId="99" fillId="19" borderId="56" applyNumberFormat="0" applyAlignment="0" applyProtection="0"/>
    <xf numFmtId="0" fontId="100" fillId="19" borderId="56" applyNumberFormat="0" applyAlignment="0" applyProtection="0">
      <alignment vertical="center"/>
    </xf>
    <xf numFmtId="0" fontId="108" fillId="26" borderId="65" applyNumberFormat="0" applyAlignment="0" applyProtection="0"/>
    <xf numFmtId="0" fontId="109" fillId="26" borderId="65" applyNumberFormat="0" applyAlignment="0" applyProtection="0">
      <alignment vertical="center"/>
    </xf>
    <xf numFmtId="4" fontId="113" fillId="27" borderId="66" applyNumberFormat="0" applyProtection="0">
      <alignment vertical="center"/>
    </xf>
    <xf numFmtId="4" fontId="114" fillId="41" borderId="66" applyNumberFormat="0" applyProtection="0">
      <alignment vertical="center"/>
    </xf>
    <xf numFmtId="4" fontId="113" fillId="41" borderId="66" applyNumberFormat="0" applyProtection="0">
      <alignment horizontal="left" vertical="center" indent="1"/>
    </xf>
    <xf numFmtId="0" fontId="113" fillId="41" borderId="66" applyNumberFormat="0" applyProtection="0">
      <alignment horizontal="left" vertical="top" indent="1"/>
    </xf>
    <xf numFmtId="4" fontId="35" fillId="16" borderId="66" applyNumberFormat="0" applyProtection="0">
      <alignment horizontal="right" vertical="center"/>
    </xf>
    <xf numFmtId="4" fontId="35" fillId="2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35" fillId="34" borderId="66" applyNumberFormat="0" applyProtection="0">
      <alignment horizontal="right" vertical="center"/>
    </xf>
    <xf numFmtId="4" fontId="35" fillId="43" borderId="66" applyNumberFormat="0" applyProtection="0">
      <alignment horizontal="right" vertical="center"/>
    </xf>
    <xf numFmtId="4" fontId="35" fillId="24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80" fillId="46" borderId="66" applyNumberFormat="0" applyProtection="0">
      <alignment horizontal="left" vertical="top" indent="1"/>
    </xf>
    <xf numFmtId="0" fontId="80" fillId="42" borderId="66" applyNumberFormat="0" applyProtection="0">
      <alignment horizontal="left" vertical="center" indent="1"/>
    </xf>
    <xf numFmtId="0" fontId="80" fillId="42" borderId="66" applyNumberFormat="0" applyProtection="0">
      <alignment horizontal="left" vertical="top" indent="1"/>
    </xf>
    <xf numFmtId="0" fontId="80" fillId="48" borderId="66" applyNumberFormat="0" applyProtection="0">
      <alignment horizontal="left" vertical="center" indent="1"/>
    </xf>
    <xf numFmtId="0" fontId="80" fillId="48" borderId="66" applyNumberFormat="0" applyProtection="0">
      <alignment horizontal="left" vertical="top" indent="1"/>
    </xf>
    <xf numFmtId="0" fontId="80" fillId="49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top" indent="1"/>
    </xf>
    <xf numFmtId="4" fontId="35" fillId="39" borderId="66" applyNumberFormat="0" applyProtection="0">
      <alignment vertical="center"/>
    </xf>
    <xf numFmtId="4" fontId="116" fillId="39" borderId="66" applyNumberFormat="0" applyProtection="0">
      <alignment vertical="center"/>
    </xf>
    <xf numFmtId="4" fontId="35" fillId="39" borderId="66" applyNumberFormat="0" applyProtection="0">
      <alignment horizontal="left" vertical="center" indent="1"/>
    </xf>
    <xf numFmtId="0" fontId="35" fillId="39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4" fontId="116" fillId="45" borderId="66" applyNumberFormat="0" applyProtection="0">
      <alignment horizontal="right" vertical="center"/>
    </xf>
    <xf numFmtId="4" fontId="35" fillId="47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8" fillId="0" borderId="3" applyNumberFormat="0" applyFont="0" applyBorder="0" applyAlignment="0">
      <alignment horizontal="center"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204" fillId="0" borderId="75">
      <alignment horizontal="left"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9" borderId="33" applyNumberFormat="0" applyAlignment="0" applyProtection="0">
      <alignment vertical="center"/>
    </xf>
    <xf numFmtId="0" fontId="2" fillId="9" borderId="33" applyNumberFormat="0" applyAlignment="0" applyProtection="0">
      <alignment vertical="center"/>
    </xf>
    <xf numFmtId="0" fontId="33" fillId="0" borderId="0"/>
    <xf numFmtId="0" fontId="33" fillId="0" borderId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1" fillId="26" borderId="56" applyNumberFormat="0" applyAlignment="0" applyProtection="0"/>
    <xf numFmtId="0" fontId="72" fillId="26" borderId="56" applyNumberFormat="0" applyAlignment="0" applyProtection="0">
      <alignment vertical="center"/>
    </xf>
    <xf numFmtId="0" fontId="99" fillId="19" borderId="56" applyNumberFormat="0" applyAlignment="0" applyProtection="0"/>
    <xf numFmtId="0" fontId="100" fillId="19" borderId="56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0" fontId="80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108" fillId="26" borderId="65" applyNumberFormat="0" applyAlignment="0" applyProtection="0"/>
    <xf numFmtId="0" fontId="109" fillId="26" borderId="65" applyNumberFormat="0" applyAlignment="0" applyProtection="0">
      <alignment vertical="center"/>
    </xf>
    <xf numFmtId="4" fontId="113" fillId="27" borderId="66" applyNumberFormat="0" applyProtection="0">
      <alignment vertical="center"/>
    </xf>
    <xf numFmtId="4" fontId="114" fillId="41" borderId="66" applyNumberFormat="0" applyProtection="0">
      <alignment vertical="center"/>
    </xf>
    <xf numFmtId="4" fontId="113" fillId="41" borderId="66" applyNumberFormat="0" applyProtection="0">
      <alignment horizontal="left" vertical="center" indent="1"/>
    </xf>
    <xf numFmtId="0" fontId="113" fillId="41" borderId="66" applyNumberFormat="0" applyProtection="0">
      <alignment horizontal="left" vertical="top" indent="1"/>
    </xf>
    <xf numFmtId="4" fontId="35" fillId="16" borderId="66" applyNumberFormat="0" applyProtection="0">
      <alignment horizontal="right" vertical="center"/>
    </xf>
    <xf numFmtId="4" fontId="35" fillId="2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35" fillId="34" borderId="66" applyNumberFormat="0" applyProtection="0">
      <alignment horizontal="right" vertical="center"/>
    </xf>
    <xf numFmtId="4" fontId="35" fillId="43" borderId="66" applyNumberFormat="0" applyProtection="0">
      <alignment horizontal="right" vertical="center"/>
    </xf>
    <xf numFmtId="4" fontId="35" fillId="24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80" fillId="46" borderId="66" applyNumberFormat="0" applyProtection="0">
      <alignment horizontal="left" vertical="top" indent="1"/>
    </xf>
    <xf numFmtId="0" fontId="80" fillId="42" borderId="66" applyNumberFormat="0" applyProtection="0">
      <alignment horizontal="left" vertical="center" indent="1"/>
    </xf>
    <xf numFmtId="0" fontId="80" fillId="42" borderId="66" applyNumberFormat="0" applyProtection="0">
      <alignment horizontal="left" vertical="top" indent="1"/>
    </xf>
    <xf numFmtId="0" fontId="80" fillId="48" borderId="66" applyNumberFormat="0" applyProtection="0">
      <alignment horizontal="left" vertical="center" indent="1"/>
    </xf>
    <xf numFmtId="0" fontId="80" fillId="48" borderId="66" applyNumberFormat="0" applyProtection="0">
      <alignment horizontal="left" vertical="top" indent="1"/>
    </xf>
    <xf numFmtId="0" fontId="80" fillId="49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top" indent="1"/>
    </xf>
    <xf numFmtId="4" fontId="35" fillId="39" borderId="66" applyNumberFormat="0" applyProtection="0">
      <alignment vertical="center"/>
    </xf>
    <xf numFmtId="4" fontId="116" fillId="39" borderId="66" applyNumberFormat="0" applyProtection="0">
      <alignment vertical="center"/>
    </xf>
    <xf numFmtId="4" fontId="35" fillId="39" borderId="66" applyNumberFormat="0" applyProtection="0">
      <alignment horizontal="left" vertical="center" indent="1"/>
    </xf>
    <xf numFmtId="0" fontId="35" fillId="39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4" fontId="116" fillId="45" borderId="66" applyNumberFormat="0" applyProtection="0">
      <alignment horizontal="right" vertical="center"/>
    </xf>
    <xf numFmtId="4" fontId="35" fillId="47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0" fontId="6" fillId="22" borderId="64" applyNumberFormat="0" applyFont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107" fillId="22" borderId="64" applyNumberFormat="0" applyFont="0" applyAlignment="0" applyProtection="0"/>
    <xf numFmtId="0" fontId="107" fillId="22" borderId="64" applyNumberFormat="0" applyFont="0" applyAlignment="0" applyProtection="0"/>
    <xf numFmtId="0" fontId="108" fillId="26" borderId="65" applyNumberFormat="0" applyAlignment="0" applyProtection="0"/>
    <xf numFmtId="0" fontId="109" fillId="26" borderId="65" applyNumberFormat="0" applyAlignment="0" applyProtection="0">
      <alignment vertical="center"/>
    </xf>
    <xf numFmtId="4" fontId="113" fillId="27" borderId="66" applyNumberFormat="0" applyProtection="0">
      <alignment vertical="center"/>
    </xf>
    <xf numFmtId="4" fontId="114" fillId="41" borderId="66" applyNumberFormat="0" applyProtection="0">
      <alignment vertical="center"/>
    </xf>
    <xf numFmtId="0" fontId="99" fillId="19" borderId="56" applyNumberFormat="0" applyAlignment="0" applyProtection="0"/>
    <xf numFmtId="0" fontId="113" fillId="41" borderId="66" applyNumberFormat="0" applyProtection="0">
      <alignment horizontal="left" vertical="top" indent="1"/>
    </xf>
    <xf numFmtId="4" fontId="35" fillId="16" borderId="66" applyNumberFormat="0" applyProtection="0">
      <alignment horizontal="right" vertical="center"/>
    </xf>
    <xf numFmtId="4" fontId="35" fillId="2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35" fillId="34" borderId="66" applyNumberFormat="0" applyProtection="0">
      <alignment horizontal="right" vertical="center"/>
    </xf>
    <xf numFmtId="4" fontId="113" fillId="41" borderId="66" applyNumberFormat="0" applyProtection="0">
      <alignment horizontal="left" vertical="center" indent="1"/>
    </xf>
    <xf numFmtId="4" fontId="35" fillId="24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80" fillId="46" borderId="66" applyNumberFormat="0" applyProtection="0">
      <alignment horizontal="left" vertical="top" indent="1"/>
    </xf>
    <xf numFmtId="0" fontId="80" fillId="42" borderId="66" applyNumberFormat="0" applyProtection="0">
      <alignment horizontal="left" vertical="center" indent="1"/>
    </xf>
    <xf numFmtId="0" fontId="80" fillId="42" borderId="66" applyNumberFormat="0" applyProtection="0">
      <alignment horizontal="left" vertical="top" indent="1"/>
    </xf>
    <xf numFmtId="0" fontId="80" fillId="48" borderId="66" applyNumberFormat="0" applyProtection="0">
      <alignment horizontal="left" vertical="center" indent="1"/>
    </xf>
    <xf numFmtId="4" fontId="35" fillId="43" borderId="66" applyNumberFormat="0" applyProtection="0">
      <alignment horizontal="right" vertical="center"/>
    </xf>
    <xf numFmtId="0" fontId="80" fillId="49" borderId="66" applyNumberFormat="0" applyProtection="0">
      <alignment horizontal="left" vertical="center" indent="1"/>
    </xf>
    <xf numFmtId="4" fontId="35" fillId="39" borderId="66" applyNumberFormat="0" applyProtection="0">
      <alignment horizontal="left" vertical="center" indent="1"/>
    </xf>
    <xf numFmtId="0" fontId="35" fillId="39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4" fontId="116" fillId="45" borderId="66" applyNumberFormat="0" applyProtection="0">
      <alignment horizontal="right" vertical="center"/>
    </xf>
    <xf numFmtId="0" fontId="80" fillId="48" borderId="66" applyNumberFormat="0" applyProtection="0">
      <alignment horizontal="left" vertical="top" indent="1"/>
    </xf>
    <xf numFmtId="4" fontId="35" fillId="47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107" fillId="22" borderId="64" applyNumberFormat="0" applyFont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18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71" fillId="26" borderId="56" applyNumberFormat="0" applyAlignment="0" applyProtection="0"/>
    <xf numFmtId="0" fontId="72" fillId="26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80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07" fillId="22" borderId="64" applyNumberFormat="0" applyFont="0" applyAlignment="0" applyProtection="0"/>
    <xf numFmtId="0" fontId="71" fillId="26" borderId="56" applyNumberFormat="0" applyAlignment="0" applyProtection="0"/>
    <xf numFmtId="0" fontId="72" fillId="26" borderId="56" applyNumberFormat="0" applyAlignment="0" applyProtection="0">
      <alignment vertical="center"/>
    </xf>
    <xf numFmtId="0" fontId="99" fillId="19" borderId="56" applyNumberFormat="0" applyAlignment="0" applyProtection="0"/>
    <xf numFmtId="0" fontId="100" fillId="19" borderId="56" applyNumberFormat="0" applyAlignment="0" applyProtection="0">
      <alignment vertical="center"/>
    </xf>
    <xf numFmtId="0" fontId="80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108" fillId="26" borderId="65" applyNumberFormat="0" applyAlignment="0" applyProtection="0"/>
    <xf numFmtId="0" fontId="109" fillId="26" borderId="65" applyNumberFormat="0" applyAlignment="0" applyProtection="0">
      <alignment vertical="center"/>
    </xf>
    <xf numFmtId="4" fontId="113" fillId="27" borderId="66" applyNumberFormat="0" applyProtection="0">
      <alignment vertical="center"/>
    </xf>
    <xf numFmtId="4" fontId="114" fillId="41" borderId="66" applyNumberFormat="0" applyProtection="0">
      <alignment vertical="center"/>
    </xf>
    <xf numFmtId="4" fontId="113" fillId="41" borderId="66" applyNumberFormat="0" applyProtection="0">
      <alignment horizontal="left" vertical="center" indent="1"/>
    </xf>
    <xf numFmtId="0" fontId="113" fillId="41" borderId="66" applyNumberFormat="0" applyProtection="0">
      <alignment horizontal="left" vertical="top" indent="1"/>
    </xf>
    <xf numFmtId="4" fontId="35" fillId="16" borderId="66" applyNumberFormat="0" applyProtection="0">
      <alignment horizontal="right" vertical="center"/>
    </xf>
    <xf numFmtId="4" fontId="35" fillId="2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35" fillId="34" borderId="66" applyNumberFormat="0" applyProtection="0">
      <alignment horizontal="right" vertical="center"/>
    </xf>
    <xf numFmtId="4" fontId="35" fillId="43" borderId="66" applyNumberFormat="0" applyProtection="0">
      <alignment horizontal="right" vertical="center"/>
    </xf>
    <xf numFmtId="4" fontId="35" fillId="24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80" fillId="46" borderId="66" applyNumberFormat="0" applyProtection="0">
      <alignment horizontal="left" vertical="top" indent="1"/>
    </xf>
    <xf numFmtId="0" fontId="80" fillId="42" borderId="66" applyNumberFormat="0" applyProtection="0">
      <alignment horizontal="left" vertical="center" indent="1"/>
    </xf>
    <xf numFmtId="0" fontId="80" fillId="42" borderId="66" applyNumberFormat="0" applyProtection="0">
      <alignment horizontal="left" vertical="top" indent="1"/>
    </xf>
    <xf numFmtId="0" fontId="80" fillId="48" borderId="66" applyNumberFormat="0" applyProtection="0">
      <alignment horizontal="left" vertical="center" indent="1"/>
    </xf>
    <xf numFmtId="0" fontId="80" fillId="48" borderId="66" applyNumberFormat="0" applyProtection="0">
      <alignment horizontal="left" vertical="top" indent="1"/>
    </xf>
    <xf numFmtId="0" fontId="80" fillId="49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top" indent="1"/>
    </xf>
    <xf numFmtId="4" fontId="35" fillId="39" borderId="66" applyNumberFormat="0" applyProtection="0">
      <alignment vertical="center"/>
    </xf>
    <xf numFmtId="4" fontId="116" fillId="39" borderId="66" applyNumberFormat="0" applyProtection="0">
      <alignment vertical="center"/>
    </xf>
    <xf numFmtId="4" fontId="35" fillId="39" borderId="66" applyNumberFormat="0" applyProtection="0">
      <alignment horizontal="left" vertical="center" indent="1"/>
    </xf>
    <xf numFmtId="0" fontId="35" fillId="39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4" fontId="116" fillId="45" borderId="66" applyNumberFormat="0" applyProtection="0">
      <alignment horizontal="right" vertical="center"/>
    </xf>
    <xf numFmtId="4" fontId="35" fillId="47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07" fillId="22" borderId="64" applyNumberFormat="0" applyFont="0" applyAlignment="0" applyProtection="0"/>
    <xf numFmtId="0" fontId="80" fillId="49" borderId="66" applyNumberFormat="0" applyProtection="0">
      <alignment horizontal="left" vertical="top" indent="1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4" fontId="116" fillId="39" borderId="66" applyNumberFormat="0" applyProtection="0">
      <alignment vertical="center"/>
    </xf>
    <xf numFmtId="4" fontId="35" fillId="39" borderId="66" applyNumberForma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6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07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107" fillId="22" borderId="64" applyNumberFormat="0" applyFont="0" applyAlignment="0" applyProtection="0"/>
    <xf numFmtId="0" fontId="71" fillId="26" borderId="56" applyNumberFormat="0" applyAlignment="0" applyProtection="0"/>
    <xf numFmtId="0" fontId="72" fillId="26" borderId="56" applyNumberFormat="0" applyAlignment="0" applyProtection="0">
      <alignment vertical="center"/>
    </xf>
    <xf numFmtId="0" fontId="99" fillId="19" borderId="56" applyNumberFormat="0" applyAlignment="0" applyProtection="0"/>
    <xf numFmtId="0" fontId="100" fillId="19" borderId="56" applyNumberFormat="0" applyAlignment="0" applyProtection="0">
      <alignment vertical="center"/>
    </xf>
    <xf numFmtId="0" fontId="80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108" fillId="26" borderId="65" applyNumberFormat="0" applyAlignment="0" applyProtection="0"/>
    <xf numFmtId="0" fontId="109" fillId="26" borderId="65" applyNumberFormat="0" applyAlignment="0" applyProtection="0">
      <alignment vertical="center"/>
    </xf>
    <xf numFmtId="4" fontId="113" fillId="27" borderId="66" applyNumberFormat="0" applyProtection="0">
      <alignment vertical="center"/>
    </xf>
    <xf numFmtId="4" fontId="114" fillId="41" borderId="66" applyNumberFormat="0" applyProtection="0">
      <alignment vertical="center"/>
    </xf>
    <xf numFmtId="4" fontId="113" fillId="41" borderId="66" applyNumberFormat="0" applyProtection="0">
      <alignment horizontal="left" vertical="center" indent="1"/>
    </xf>
    <xf numFmtId="0" fontId="113" fillId="41" borderId="66" applyNumberFormat="0" applyProtection="0">
      <alignment horizontal="left" vertical="top" indent="1"/>
    </xf>
    <xf numFmtId="4" fontId="35" fillId="16" borderId="66" applyNumberFormat="0" applyProtection="0">
      <alignment horizontal="right" vertical="center"/>
    </xf>
    <xf numFmtId="4" fontId="35" fillId="2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35" fillId="34" borderId="66" applyNumberFormat="0" applyProtection="0">
      <alignment horizontal="right" vertical="center"/>
    </xf>
    <xf numFmtId="4" fontId="35" fillId="43" borderId="66" applyNumberFormat="0" applyProtection="0">
      <alignment horizontal="right" vertical="center"/>
    </xf>
    <xf numFmtId="4" fontId="35" fillId="24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80" fillId="46" borderId="66" applyNumberFormat="0" applyProtection="0">
      <alignment horizontal="left" vertical="top" indent="1"/>
    </xf>
    <xf numFmtId="0" fontId="80" fillId="42" borderId="66" applyNumberFormat="0" applyProtection="0">
      <alignment horizontal="left" vertical="center" indent="1"/>
    </xf>
    <xf numFmtId="0" fontId="80" fillId="42" borderId="66" applyNumberFormat="0" applyProtection="0">
      <alignment horizontal="left" vertical="top" indent="1"/>
    </xf>
    <xf numFmtId="0" fontId="80" fillId="48" borderId="66" applyNumberFormat="0" applyProtection="0">
      <alignment horizontal="left" vertical="center" indent="1"/>
    </xf>
    <xf numFmtId="0" fontId="80" fillId="48" borderId="66" applyNumberFormat="0" applyProtection="0">
      <alignment horizontal="left" vertical="top" indent="1"/>
    </xf>
    <xf numFmtId="0" fontId="80" fillId="49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top" indent="1"/>
    </xf>
    <xf numFmtId="4" fontId="35" fillId="39" borderId="66" applyNumberFormat="0" applyProtection="0">
      <alignment vertical="center"/>
    </xf>
    <xf numFmtId="4" fontId="116" fillId="39" borderId="66" applyNumberFormat="0" applyProtection="0">
      <alignment vertical="center"/>
    </xf>
    <xf numFmtId="4" fontId="35" fillId="39" borderId="66" applyNumberFormat="0" applyProtection="0">
      <alignment horizontal="left" vertical="center" indent="1"/>
    </xf>
    <xf numFmtId="0" fontId="35" fillId="39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4" fontId="116" fillId="45" borderId="66" applyNumberFormat="0" applyProtection="0">
      <alignment horizontal="right" vertical="center"/>
    </xf>
    <xf numFmtId="4" fontId="35" fillId="47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107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4" fontId="35" fillId="47" borderId="66" applyNumberFormat="0" applyProtection="0">
      <alignment horizontal="right" vertical="center"/>
    </xf>
    <xf numFmtId="0" fontId="80" fillId="48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0" fontId="99" fillId="19" borderId="56" applyNumberFormat="0" applyAlignment="0" applyProtection="0"/>
    <xf numFmtId="0" fontId="122" fillId="0" borderId="69" applyNumberFormat="0" applyFill="0" applyAlignment="0" applyProtection="0">
      <alignment vertical="center"/>
    </xf>
    <xf numFmtId="4" fontId="35" fillId="16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0" fontId="100" fillId="19" borderId="56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99" fillId="19" borderId="56" applyNumberFormat="0" applyAlignment="0" applyProtection="0"/>
    <xf numFmtId="0" fontId="80" fillId="49" borderId="66" applyNumberFormat="0" applyProtection="0">
      <alignment horizontal="left" vertical="center" indent="1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4" fontId="35" fillId="39" borderId="66" applyNumberForma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99" fillId="19" borderId="56" applyNumberFormat="0" applyAlignment="0" applyProtection="0"/>
    <xf numFmtId="4" fontId="35" fillId="24" borderId="66" applyNumberFormat="0" applyProtection="0">
      <alignment horizontal="right" vertical="center"/>
    </xf>
    <xf numFmtId="0" fontId="6" fillId="22" borderId="64" applyNumberFormat="0" applyFont="0" applyAlignment="0" applyProtection="0">
      <alignment vertical="center"/>
    </xf>
    <xf numFmtId="4" fontId="35" fillId="45" borderId="66" applyNumberFormat="0" applyProtection="0">
      <alignment horizontal="right" vertical="center"/>
    </xf>
    <xf numFmtId="0" fontId="80" fillId="48" borderId="66" applyNumberFormat="0" applyProtection="0">
      <alignment horizontal="left" vertical="center" indent="1"/>
    </xf>
    <xf numFmtId="0" fontId="69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4" fontId="35" fillId="16" borderId="66" applyNumberFormat="0" applyProtection="0">
      <alignment horizontal="right"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99" fillId="19" borderId="56" applyNumberFormat="0" applyAlignment="0" applyProtection="0"/>
    <xf numFmtId="0" fontId="109" fillId="26" borderId="65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4" fontId="113" fillId="27" borderId="66" applyNumberFormat="0" applyProtection="0">
      <alignment vertical="center"/>
    </xf>
    <xf numFmtId="0" fontId="100" fillId="19" borderId="56" applyNumberFormat="0" applyAlignment="0" applyProtection="0">
      <alignment vertical="center"/>
    </xf>
    <xf numFmtId="4" fontId="35" fillId="25" borderId="66" applyNumberFormat="0" applyProtection="0">
      <alignment horizontal="right"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4" fontId="35" fillId="47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top" indent="1"/>
    </xf>
    <xf numFmtId="0" fontId="35" fillId="39" borderId="66" applyNumberFormat="0" applyProtection="0">
      <alignment horizontal="left" vertical="top" indent="1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107" fillId="22" borderId="64" applyNumberFormat="0" applyFont="0" applyAlignment="0" applyProtection="0"/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71" fillId="26" borderId="56" applyNumberFormat="0" applyAlignment="0" applyProtection="0"/>
    <xf numFmtId="4" fontId="35" fillId="34" borderId="66" applyNumberFormat="0" applyProtection="0">
      <alignment horizontal="right" vertical="center"/>
    </xf>
    <xf numFmtId="0" fontId="80" fillId="42" borderId="66" applyNumberFormat="0" applyProtection="0">
      <alignment horizontal="left" vertical="center" indent="1"/>
    </xf>
    <xf numFmtId="4" fontId="116" fillId="39" borderId="66" applyNumberFormat="0" applyProtection="0">
      <alignment vertical="center"/>
    </xf>
    <xf numFmtId="0" fontId="35" fillId="42" borderId="66" applyNumberFormat="0" applyProtection="0">
      <alignment horizontal="left" vertical="top" indent="1"/>
    </xf>
    <xf numFmtId="0" fontId="18" fillId="22" borderId="64" applyNumberFormat="0" applyFont="0" applyAlignment="0" applyProtection="0">
      <alignment vertical="center"/>
    </xf>
    <xf numFmtId="4" fontId="35" fillId="21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113" fillId="41" borderId="66" applyNumberFormat="0" applyProtection="0">
      <alignment horizontal="left" vertical="center" indent="1"/>
    </xf>
    <xf numFmtId="4" fontId="35" fillId="34" borderId="66" applyNumberFormat="0" applyProtection="0">
      <alignment horizontal="right" vertical="center"/>
    </xf>
    <xf numFmtId="4" fontId="35" fillId="43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top" indent="1"/>
    </xf>
    <xf numFmtId="4" fontId="35" fillId="47" borderId="66" applyNumberFormat="0" applyProtection="0">
      <alignment horizontal="left" vertical="center" indent="1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7" fillId="22" borderId="64" applyNumberFormat="0" applyFont="0" applyAlignment="0" applyProtection="0"/>
    <xf numFmtId="0" fontId="99" fillId="19" borderId="56" applyNumberFormat="0" applyAlignment="0" applyProtection="0"/>
    <xf numFmtId="0" fontId="72" fillId="26" borderId="56" applyNumberFormat="0" applyAlignment="0" applyProtection="0">
      <alignment vertical="center"/>
    </xf>
    <xf numFmtId="0" fontId="80" fillId="22" borderId="64" applyNumberFormat="0" applyFont="0" applyAlignment="0" applyProtection="0"/>
    <xf numFmtId="4" fontId="113" fillId="27" borderId="66" applyNumberFormat="0" applyProtection="0">
      <alignment vertical="center"/>
    </xf>
    <xf numFmtId="0" fontId="80" fillId="42" borderId="66" applyNumberFormat="0" applyProtection="0">
      <alignment horizontal="left" vertical="center" indent="1"/>
    </xf>
    <xf numFmtId="0" fontId="122" fillId="0" borderId="69" applyNumberFormat="0" applyFill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4" fontId="35" fillId="39" borderId="66" applyNumberFormat="0" applyProtection="0">
      <alignment vertical="center"/>
    </xf>
    <xf numFmtId="0" fontId="100" fillId="19" borderId="56" applyNumberFormat="0" applyAlignment="0" applyProtection="0">
      <alignment vertical="center"/>
    </xf>
    <xf numFmtId="0" fontId="108" fillId="26" borderId="65" applyNumberFormat="0" applyAlignment="0" applyProtection="0"/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07" fillId="22" borderId="64" applyNumberFormat="0" applyFont="0" applyAlignment="0" applyProtection="0"/>
    <xf numFmtId="0" fontId="72" fillId="26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4" fontId="35" fillId="43" borderId="66" applyNumberFormat="0" applyProtection="0">
      <alignment horizontal="right" vertical="center"/>
    </xf>
    <xf numFmtId="0" fontId="80" fillId="42" borderId="66" applyNumberFormat="0" applyProtection="0">
      <alignment horizontal="left" vertical="top" indent="1"/>
    </xf>
    <xf numFmtId="4" fontId="35" fillId="39" borderId="66" applyNumberFormat="0" applyProtection="0">
      <alignment horizontal="left" vertical="center" indent="1"/>
    </xf>
    <xf numFmtId="4" fontId="118" fillId="45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18" fillId="22" borderId="64" applyNumberFormat="0" applyFont="0" applyAlignment="0" applyProtection="0">
      <alignment vertical="center"/>
    </xf>
    <xf numFmtId="4" fontId="116" fillId="45" borderId="66" applyNumberFormat="0" applyProtection="0">
      <alignment horizontal="right" vertical="center"/>
    </xf>
    <xf numFmtId="0" fontId="6" fillId="22" borderId="64" applyNumberFormat="0" applyFont="0" applyAlignment="0" applyProtection="0">
      <alignment vertical="center"/>
    </xf>
    <xf numFmtId="4" fontId="35" fillId="39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71" fillId="26" borderId="56" applyNumberFormat="0" applyAlignment="0" applyProtection="0"/>
    <xf numFmtId="0" fontId="122" fillId="0" borderId="69" applyNumberFormat="0" applyFill="0" applyAlignment="0" applyProtection="0">
      <alignment vertical="center"/>
    </xf>
    <xf numFmtId="0" fontId="99" fillId="19" borderId="56" applyNumberFormat="0" applyAlignment="0" applyProtection="0"/>
    <xf numFmtId="0" fontId="6" fillId="22" borderId="64" applyNumberFormat="0" applyFon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4" fontId="35" fillId="35" borderId="66" applyNumberFormat="0" applyProtection="0">
      <alignment horizontal="right"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" fontId="114" fillId="41" borderId="66" applyNumberFormat="0" applyProtection="0">
      <alignment vertical="center"/>
    </xf>
    <xf numFmtId="0" fontId="113" fillId="0" borderId="69" applyNumberFormat="0" applyFill="0" applyAlignment="0" applyProtection="0"/>
    <xf numFmtId="0" fontId="6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4" fontId="35" fillId="21" borderId="66" applyNumberFormat="0" applyProtection="0">
      <alignment horizontal="right" vertical="center"/>
    </xf>
    <xf numFmtId="0" fontId="6" fillId="22" borderId="64" applyNumberFormat="0" applyFon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99" fillId="19" borderId="56" applyNumberFormat="0" applyAlignment="0" applyProtection="0"/>
    <xf numFmtId="0" fontId="80" fillId="48" borderId="66" applyNumberFormat="0" applyProtection="0">
      <alignment horizontal="left" vertical="center" indent="1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4" fontId="35" fillId="24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07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4" fontId="114" fillId="41" borderId="66" applyNumberFormat="0" applyProtection="0">
      <alignment vertical="center"/>
    </xf>
    <xf numFmtId="0" fontId="80" fillId="42" borderId="66" applyNumberFormat="0" applyProtection="0">
      <alignment horizontal="left" vertical="top" indent="1"/>
    </xf>
    <xf numFmtId="4" fontId="116" fillId="45" borderId="66" applyNumberFormat="0" applyProtection="0">
      <alignment horizontal="right" vertical="center"/>
    </xf>
    <xf numFmtId="4" fontId="116" fillId="39" borderId="66" applyNumberFormat="0" applyProtection="0">
      <alignment vertical="center"/>
    </xf>
    <xf numFmtId="0" fontId="80" fillId="48" borderId="66" applyNumberFormat="0" applyProtection="0">
      <alignment horizontal="left" vertical="top" indent="1"/>
    </xf>
    <xf numFmtId="0" fontId="113" fillId="41" borderId="66" applyNumberFormat="0" applyProtection="0">
      <alignment horizontal="left" vertical="top" indent="1"/>
    </xf>
    <xf numFmtId="0" fontId="109" fillId="26" borderId="65" applyNumberFormat="0" applyAlignment="0" applyProtection="0">
      <alignment vertical="center"/>
    </xf>
    <xf numFmtId="0" fontId="35" fillId="39" borderId="66" applyNumberFormat="0" applyProtection="0">
      <alignment horizontal="left" vertical="top" indent="1"/>
    </xf>
    <xf numFmtId="0" fontId="80" fillId="49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80" fillId="22" borderId="64" applyNumberFormat="0" applyFont="0" applyAlignment="0" applyProtection="0"/>
    <xf numFmtId="0" fontId="176" fillId="19" borderId="56" applyNumberForma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4" fontId="35" fillId="3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0" fontId="113" fillId="41" borderId="66" applyNumberFormat="0" applyProtection="0">
      <alignment horizontal="left" vertical="top" indent="1"/>
    </xf>
    <xf numFmtId="4" fontId="113" fillId="41" borderId="66" applyNumberFormat="0" applyProtection="0">
      <alignment horizontal="left" vertical="center" indent="1"/>
    </xf>
    <xf numFmtId="0" fontId="108" fillId="26" borderId="65" applyNumberFormat="0" applyAlignment="0" applyProtection="0"/>
    <xf numFmtId="0" fontId="6" fillId="22" borderId="64" applyNumberFormat="0" applyFont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80" fillId="46" borderId="66" applyNumberFormat="0" applyProtection="0">
      <alignment horizontal="left" vertical="top" indent="1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0" fontId="99" fillId="19" borderId="56" applyNumberFormat="0" applyAlignment="0" applyProtection="0"/>
    <xf numFmtId="0" fontId="99" fillId="19" borderId="56" applyNumberFormat="0" applyAlignment="0" applyProtection="0"/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188" fontId="11" fillId="0" borderId="62" applyFill="0" applyBorder="0" applyProtection="0">
      <alignment vertical="center"/>
    </xf>
    <xf numFmtId="188" fontId="11" fillId="0" borderId="62" applyFill="0" applyBorder="0" applyProtection="0">
      <alignment vertical="center"/>
    </xf>
    <xf numFmtId="0" fontId="91" fillId="0" borderId="75">
      <alignment horizontal="left" vertical="center"/>
    </xf>
    <xf numFmtId="0" fontId="99" fillId="19" borderId="56" applyNumberFormat="0" applyAlignment="0" applyProtection="0"/>
    <xf numFmtId="10" fontId="88" fillId="39" borderId="62" applyNumberFormat="0" applyBorder="0" applyAlignment="0" applyProtection="0"/>
    <xf numFmtId="0" fontId="18" fillId="0" borderId="3" applyNumberFormat="0" applyFont="0" applyBorder="0" applyAlignment="0">
      <alignment horizontal="center" vertical="center"/>
    </xf>
    <xf numFmtId="0" fontId="204" fillId="0" borderId="75">
      <alignment horizontal="left"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07" fillId="22" borderId="64" applyNumberFormat="0" applyFont="0" applyAlignment="0" applyProtection="0"/>
    <xf numFmtId="188" fontId="11" fillId="0" borderId="62" applyFill="0" applyBorder="0" applyProtection="0">
      <alignment vertical="center"/>
    </xf>
    <xf numFmtId="188" fontId="11" fillId="0" borderId="62" applyFill="0" applyBorder="0" applyProtection="0">
      <alignment vertical="center"/>
    </xf>
    <xf numFmtId="0" fontId="71" fillId="26" borderId="56" applyNumberFormat="0" applyAlignment="0" applyProtection="0"/>
    <xf numFmtId="0" fontId="72" fillId="26" borderId="56" applyNumberFormat="0" applyAlignment="0" applyProtection="0">
      <alignment vertical="center"/>
    </xf>
    <xf numFmtId="0" fontId="91" fillId="0" borderId="75">
      <alignment horizontal="left" vertical="center"/>
    </xf>
    <xf numFmtId="0" fontId="99" fillId="19" borderId="56" applyNumberFormat="0" applyAlignment="0" applyProtection="0"/>
    <xf numFmtId="10" fontId="88" fillId="39" borderId="62" applyNumberFormat="0" applyBorder="0" applyAlignment="0" applyProtection="0"/>
    <xf numFmtId="0" fontId="100" fillId="19" borderId="56" applyNumberFormat="0" applyAlignment="0" applyProtection="0">
      <alignment vertical="center"/>
    </xf>
    <xf numFmtId="0" fontId="80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108" fillId="26" borderId="65" applyNumberFormat="0" applyAlignment="0" applyProtection="0"/>
    <xf numFmtId="0" fontId="109" fillId="26" borderId="65" applyNumberFormat="0" applyAlignment="0" applyProtection="0">
      <alignment vertical="center"/>
    </xf>
    <xf numFmtId="4" fontId="113" fillId="27" borderId="66" applyNumberFormat="0" applyProtection="0">
      <alignment vertical="center"/>
    </xf>
    <xf numFmtId="4" fontId="114" fillId="41" borderId="66" applyNumberFormat="0" applyProtection="0">
      <alignment vertical="center"/>
    </xf>
    <xf numFmtId="4" fontId="113" fillId="41" borderId="66" applyNumberFormat="0" applyProtection="0">
      <alignment horizontal="left" vertical="center" indent="1"/>
    </xf>
    <xf numFmtId="0" fontId="113" fillId="41" borderId="66" applyNumberFormat="0" applyProtection="0">
      <alignment horizontal="left" vertical="top" indent="1"/>
    </xf>
    <xf numFmtId="4" fontId="35" fillId="16" borderId="66" applyNumberFormat="0" applyProtection="0">
      <alignment horizontal="right" vertical="center"/>
    </xf>
    <xf numFmtId="4" fontId="35" fillId="2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35" fillId="34" borderId="66" applyNumberFormat="0" applyProtection="0">
      <alignment horizontal="right" vertical="center"/>
    </xf>
    <xf numFmtId="4" fontId="35" fillId="43" borderId="66" applyNumberFormat="0" applyProtection="0">
      <alignment horizontal="right" vertical="center"/>
    </xf>
    <xf numFmtId="4" fontId="35" fillId="24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80" fillId="46" borderId="66" applyNumberFormat="0" applyProtection="0">
      <alignment horizontal="left" vertical="top" indent="1"/>
    </xf>
    <xf numFmtId="0" fontId="80" fillId="42" borderId="66" applyNumberFormat="0" applyProtection="0">
      <alignment horizontal="left" vertical="center" indent="1"/>
    </xf>
    <xf numFmtId="0" fontId="80" fillId="42" borderId="66" applyNumberFormat="0" applyProtection="0">
      <alignment horizontal="left" vertical="top" indent="1"/>
    </xf>
    <xf numFmtId="0" fontId="80" fillId="48" borderId="66" applyNumberFormat="0" applyProtection="0">
      <alignment horizontal="left" vertical="center" indent="1"/>
    </xf>
    <xf numFmtId="0" fontId="80" fillId="48" borderId="66" applyNumberFormat="0" applyProtection="0">
      <alignment horizontal="left" vertical="top" indent="1"/>
    </xf>
    <xf numFmtId="0" fontId="80" fillId="49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top" indent="1"/>
    </xf>
    <xf numFmtId="4" fontId="35" fillId="39" borderId="66" applyNumberFormat="0" applyProtection="0">
      <alignment vertical="center"/>
    </xf>
    <xf numFmtId="4" fontId="116" fillId="39" borderId="66" applyNumberFormat="0" applyProtection="0">
      <alignment vertical="center"/>
    </xf>
    <xf numFmtId="4" fontId="35" fillId="39" borderId="66" applyNumberFormat="0" applyProtection="0">
      <alignment horizontal="left" vertical="center" indent="1"/>
    </xf>
    <xf numFmtId="0" fontId="35" fillId="39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4" fontId="116" fillId="45" borderId="66" applyNumberFormat="0" applyProtection="0">
      <alignment horizontal="right" vertical="center"/>
    </xf>
    <xf numFmtId="4" fontId="35" fillId="47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8" fillId="0" borderId="3" applyNumberFormat="0" applyFont="0" applyBorder="0" applyAlignment="0">
      <alignment horizontal="center"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04" fillId="0" borderId="75">
      <alignment horizontal="left"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07" fillId="22" borderId="64" applyNumberFormat="0" applyFon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9" borderId="33" applyNumberFormat="0" applyAlignment="0" applyProtection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1" fillId="26" borderId="56" applyNumberFormat="0" applyAlignment="0" applyProtection="0"/>
    <xf numFmtId="0" fontId="72" fillId="26" borderId="56" applyNumberFormat="0" applyAlignment="0" applyProtection="0">
      <alignment vertical="center"/>
    </xf>
    <xf numFmtId="0" fontId="99" fillId="19" borderId="56" applyNumberFormat="0" applyAlignment="0" applyProtection="0"/>
    <xf numFmtId="0" fontId="100" fillId="19" borderId="56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0" fontId="80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108" fillId="26" borderId="65" applyNumberFormat="0" applyAlignment="0" applyProtection="0"/>
    <xf numFmtId="0" fontId="109" fillId="26" borderId="65" applyNumberFormat="0" applyAlignment="0" applyProtection="0">
      <alignment vertical="center"/>
    </xf>
    <xf numFmtId="4" fontId="113" fillId="27" borderId="66" applyNumberFormat="0" applyProtection="0">
      <alignment vertical="center"/>
    </xf>
    <xf numFmtId="4" fontId="114" fillId="41" borderId="66" applyNumberFormat="0" applyProtection="0">
      <alignment vertical="center"/>
    </xf>
    <xf numFmtId="4" fontId="113" fillId="41" borderId="66" applyNumberFormat="0" applyProtection="0">
      <alignment horizontal="left" vertical="center" indent="1"/>
    </xf>
    <xf numFmtId="0" fontId="113" fillId="41" borderId="66" applyNumberFormat="0" applyProtection="0">
      <alignment horizontal="left" vertical="top" indent="1"/>
    </xf>
    <xf numFmtId="4" fontId="35" fillId="16" borderId="66" applyNumberFormat="0" applyProtection="0">
      <alignment horizontal="right" vertical="center"/>
    </xf>
    <xf numFmtId="4" fontId="35" fillId="2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35" fillId="34" borderId="66" applyNumberFormat="0" applyProtection="0">
      <alignment horizontal="right" vertical="center"/>
    </xf>
    <xf numFmtId="4" fontId="35" fillId="43" borderId="66" applyNumberFormat="0" applyProtection="0">
      <alignment horizontal="right" vertical="center"/>
    </xf>
    <xf numFmtId="4" fontId="35" fillId="24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80" fillId="46" borderId="66" applyNumberFormat="0" applyProtection="0">
      <alignment horizontal="left" vertical="top" indent="1"/>
    </xf>
    <xf numFmtId="0" fontId="80" fillId="42" borderId="66" applyNumberFormat="0" applyProtection="0">
      <alignment horizontal="left" vertical="center" indent="1"/>
    </xf>
    <xf numFmtId="0" fontId="80" fillId="42" borderId="66" applyNumberFormat="0" applyProtection="0">
      <alignment horizontal="left" vertical="top" indent="1"/>
    </xf>
    <xf numFmtId="0" fontId="80" fillId="48" borderId="66" applyNumberFormat="0" applyProtection="0">
      <alignment horizontal="left" vertical="center" indent="1"/>
    </xf>
    <xf numFmtId="0" fontId="80" fillId="48" borderId="66" applyNumberFormat="0" applyProtection="0">
      <alignment horizontal="left" vertical="top" indent="1"/>
    </xf>
    <xf numFmtId="0" fontId="80" fillId="49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top" indent="1"/>
    </xf>
    <xf numFmtId="4" fontId="35" fillId="39" borderId="66" applyNumberFormat="0" applyProtection="0">
      <alignment vertical="center"/>
    </xf>
    <xf numFmtId="4" fontId="116" fillId="39" borderId="66" applyNumberFormat="0" applyProtection="0">
      <alignment vertical="center"/>
    </xf>
    <xf numFmtId="4" fontId="35" fillId="39" borderId="66" applyNumberFormat="0" applyProtection="0">
      <alignment horizontal="left" vertical="center" indent="1"/>
    </xf>
    <xf numFmtId="0" fontId="35" fillId="39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4" fontId="116" fillId="45" borderId="66" applyNumberFormat="0" applyProtection="0">
      <alignment horizontal="right" vertical="center"/>
    </xf>
    <xf numFmtId="4" fontId="35" fillId="47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0" fontId="6" fillId="22" borderId="64" applyNumberFormat="0" applyFont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107" fillId="22" borderId="64" applyNumberFormat="0" applyFont="0" applyAlignment="0" applyProtection="0"/>
    <xf numFmtId="0" fontId="107" fillId="22" borderId="64" applyNumberFormat="0" applyFont="0" applyAlignment="0" applyProtection="0"/>
    <xf numFmtId="0" fontId="108" fillId="26" borderId="65" applyNumberFormat="0" applyAlignment="0" applyProtection="0"/>
    <xf numFmtId="0" fontId="109" fillId="26" borderId="65" applyNumberFormat="0" applyAlignment="0" applyProtection="0">
      <alignment vertical="center"/>
    </xf>
    <xf numFmtId="4" fontId="113" fillId="27" borderId="66" applyNumberFormat="0" applyProtection="0">
      <alignment vertical="center"/>
    </xf>
    <xf numFmtId="4" fontId="114" fillId="41" borderId="66" applyNumberFormat="0" applyProtection="0">
      <alignment vertical="center"/>
    </xf>
    <xf numFmtId="0" fontId="99" fillId="19" borderId="56" applyNumberFormat="0" applyAlignment="0" applyProtection="0"/>
    <xf numFmtId="0" fontId="113" fillId="41" borderId="66" applyNumberFormat="0" applyProtection="0">
      <alignment horizontal="left" vertical="top" indent="1"/>
    </xf>
    <xf numFmtId="4" fontId="35" fillId="16" borderId="66" applyNumberFormat="0" applyProtection="0">
      <alignment horizontal="right" vertical="center"/>
    </xf>
    <xf numFmtId="4" fontId="35" fillId="2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35" fillId="34" borderId="66" applyNumberFormat="0" applyProtection="0">
      <alignment horizontal="right" vertical="center"/>
    </xf>
    <xf numFmtId="4" fontId="113" fillId="41" borderId="66" applyNumberFormat="0" applyProtection="0">
      <alignment horizontal="left" vertical="center" indent="1"/>
    </xf>
    <xf numFmtId="4" fontId="35" fillId="24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80" fillId="46" borderId="66" applyNumberFormat="0" applyProtection="0">
      <alignment horizontal="left" vertical="top" indent="1"/>
    </xf>
    <xf numFmtId="0" fontId="80" fillId="42" borderId="66" applyNumberFormat="0" applyProtection="0">
      <alignment horizontal="left" vertical="center" indent="1"/>
    </xf>
    <xf numFmtId="0" fontId="80" fillId="42" borderId="66" applyNumberFormat="0" applyProtection="0">
      <alignment horizontal="left" vertical="top" indent="1"/>
    </xf>
    <xf numFmtId="0" fontId="80" fillId="48" borderId="66" applyNumberFormat="0" applyProtection="0">
      <alignment horizontal="left" vertical="center" indent="1"/>
    </xf>
    <xf numFmtId="4" fontId="35" fillId="43" borderId="66" applyNumberFormat="0" applyProtection="0">
      <alignment horizontal="right" vertical="center"/>
    </xf>
    <xf numFmtId="0" fontId="80" fillId="49" borderId="66" applyNumberFormat="0" applyProtection="0">
      <alignment horizontal="left" vertical="center" indent="1"/>
    </xf>
    <xf numFmtId="4" fontId="35" fillId="39" borderId="66" applyNumberFormat="0" applyProtection="0">
      <alignment horizontal="left" vertical="center" indent="1"/>
    </xf>
    <xf numFmtId="0" fontId="35" fillId="39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4" fontId="116" fillId="45" borderId="66" applyNumberFormat="0" applyProtection="0">
      <alignment horizontal="right" vertical="center"/>
    </xf>
    <xf numFmtId="0" fontId="80" fillId="48" borderId="66" applyNumberFormat="0" applyProtection="0">
      <alignment horizontal="left" vertical="top" indent="1"/>
    </xf>
    <xf numFmtId="4" fontId="35" fillId="47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107" fillId="22" borderId="64" applyNumberFormat="0" applyFont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18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71" fillId="26" borderId="56" applyNumberFormat="0" applyAlignment="0" applyProtection="0"/>
    <xf numFmtId="0" fontId="72" fillId="26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80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07" fillId="22" borderId="64" applyNumberFormat="0" applyFont="0" applyAlignment="0" applyProtection="0"/>
    <xf numFmtId="0" fontId="71" fillId="26" borderId="56" applyNumberFormat="0" applyAlignment="0" applyProtection="0"/>
    <xf numFmtId="0" fontId="72" fillId="26" borderId="56" applyNumberFormat="0" applyAlignment="0" applyProtection="0">
      <alignment vertical="center"/>
    </xf>
    <xf numFmtId="0" fontId="99" fillId="19" borderId="56" applyNumberFormat="0" applyAlignment="0" applyProtection="0"/>
    <xf numFmtId="0" fontId="100" fillId="19" borderId="56" applyNumberFormat="0" applyAlignment="0" applyProtection="0">
      <alignment vertical="center"/>
    </xf>
    <xf numFmtId="0" fontId="80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108" fillId="26" borderId="65" applyNumberFormat="0" applyAlignment="0" applyProtection="0"/>
    <xf numFmtId="0" fontId="109" fillId="26" borderId="65" applyNumberFormat="0" applyAlignment="0" applyProtection="0">
      <alignment vertical="center"/>
    </xf>
    <xf numFmtId="4" fontId="113" fillId="27" borderId="66" applyNumberFormat="0" applyProtection="0">
      <alignment vertical="center"/>
    </xf>
    <xf numFmtId="4" fontId="114" fillId="41" borderId="66" applyNumberFormat="0" applyProtection="0">
      <alignment vertical="center"/>
    </xf>
    <xf numFmtId="4" fontId="113" fillId="41" borderId="66" applyNumberFormat="0" applyProtection="0">
      <alignment horizontal="left" vertical="center" indent="1"/>
    </xf>
    <xf numFmtId="0" fontId="113" fillId="41" borderId="66" applyNumberFormat="0" applyProtection="0">
      <alignment horizontal="left" vertical="top" indent="1"/>
    </xf>
    <xf numFmtId="4" fontId="35" fillId="16" borderId="66" applyNumberFormat="0" applyProtection="0">
      <alignment horizontal="right" vertical="center"/>
    </xf>
    <xf numFmtId="4" fontId="35" fillId="2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35" fillId="34" borderId="66" applyNumberFormat="0" applyProtection="0">
      <alignment horizontal="right" vertical="center"/>
    </xf>
    <xf numFmtId="4" fontId="35" fillId="43" borderId="66" applyNumberFormat="0" applyProtection="0">
      <alignment horizontal="right" vertical="center"/>
    </xf>
    <xf numFmtId="4" fontId="35" fillId="24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80" fillId="46" borderId="66" applyNumberFormat="0" applyProtection="0">
      <alignment horizontal="left" vertical="top" indent="1"/>
    </xf>
    <xf numFmtId="0" fontId="80" fillId="42" borderId="66" applyNumberFormat="0" applyProtection="0">
      <alignment horizontal="left" vertical="center" indent="1"/>
    </xf>
    <xf numFmtId="0" fontId="80" fillId="42" borderId="66" applyNumberFormat="0" applyProtection="0">
      <alignment horizontal="left" vertical="top" indent="1"/>
    </xf>
    <xf numFmtId="0" fontId="80" fillId="48" borderId="66" applyNumberFormat="0" applyProtection="0">
      <alignment horizontal="left" vertical="center" indent="1"/>
    </xf>
    <xf numFmtId="0" fontId="80" fillId="48" borderId="66" applyNumberFormat="0" applyProtection="0">
      <alignment horizontal="left" vertical="top" indent="1"/>
    </xf>
    <xf numFmtId="0" fontId="80" fillId="49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top" indent="1"/>
    </xf>
    <xf numFmtId="4" fontId="35" fillId="39" borderId="66" applyNumberFormat="0" applyProtection="0">
      <alignment vertical="center"/>
    </xf>
    <xf numFmtId="4" fontId="116" fillId="39" borderId="66" applyNumberFormat="0" applyProtection="0">
      <alignment vertical="center"/>
    </xf>
    <xf numFmtId="4" fontId="35" fillId="39" borderId="66" applyNumberFormat="0" applyProtection="0">
      <alignment horizontal="left" vertical="center" indent="1"/>
    </xf>
    <xf numFmtId="0" fontId="35" fillId="39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4" fontId="116" fillId="45" borderId="66" applyNumberFormat="0" applyProtection="0">
      <alignment horizontal="right" vertical="center"/>
    </xf>
    <xf numFmtId="4" fontId="35" fillId="47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07" fillId="22" borderId="64" applyNumberFormat="0" applyFont="0" applyAlignment="0" applyProtection="0"/>
    <xf numFmtId="0" fontId="80" fillId="49" borderId="66" applyNumberFormat="0" applyProtection="0">
      <alignment horizontal="left" vertical="top" indent="1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4" fontId="116" fillId="39" borderId="66" applyNumberFormat="0" applyProtection="0">
      <alignment vertical="center"/>
    </xf>
    <xf numFmtId="4" fontId="35" fillId="39" borderId="66" applyNumberForma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6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07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107" fillId="22" borderId="64" applyNumberFormat="0" applyFont="0" applyAlignment="0" applyProtection="0"/>
    <xf numFmtId="0" fontId="71" fillId="26" borderId="56" applyNumberFormat="0" applyAlignment="0" applyProtection="0"/>
    <xf numFmtId="0" fontId="72" fillId="26" borderId="56" applyNumberFormat="0" applyAlignment="0" applyProtection="0">
      <alignment vertical="center"/>
    </xf>
    <xf numFmtId="0" fontId="99" fillId="19" borderId="56" applyNumberFormat="0" applyAlignment="0" applyProtection="0"/>
    <xf numFmtId="0" fontId="100" fillId="19" borderId="56" applyNumberFormat="0" applyAlignment="0" applyProtection="0">
      <alignment vertical="center"/>
    </xf>
    <xf numFmtId="0" fontId="80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108" fillId="26" borderId="65" applyNumberFormat="0" applyAlignment="0" applyProtection="0"/>
    <xf numFmtId="0" fontId="109" fillId="26" borderId="65" applyNumberFormat="0" applyAlignment="0" applyProtection="0">
      <alignment vertical="center"/>
    </xf>
    <xf numFmtId="4" fontId="113" fillId="27" borderId="66" applyNumberFormat="0" applyProtection="0">
      <alignment vertical="center"/>
    </xf>
    <xf numFmtId="4" fontId="114" fillId="41" borderId="66" applyNumberFormat="0" applyProtection="0">
      <alignment vertical="center"/>
    </xf>
    <xf numFmtId="4" fontId="113" fillId="41" borderId="66" applyNumberFormat="0" applyProtection="0">
      <alignment horizontal="left" vertical="center" indent="1"/>
    </xf>
    <xf numFmtId="0" fontId="113" fillId="41" borderId="66" applyNumberFormat="0" applyProtection="0">
      <alignment horizontal="left" vertical="top" indent="1"/>
    </xf>
    <xf numFmtId="4" fontId="35" fillId="16" borderId="66" applyNumberFormat="0" applyProtection="0">
      <alignment horizontal="right" vertical="center"/>
    </xf>
    <xf numFmtId="4" fontId="35" fillId="2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35" fillId="34" borderId="66" applyNumberFormat="0" applyProtection="0">
      <alignment horizontal="right" vertical="center"/>
    </xf>
    <xf numFmtId="4" fontId="35" fillId="43" borderId="66" applyNumberFormat="0" applyProtection="0">
      <alignment horizontal="right" vertical="center"/>
    </xf>
    <xf numFmtId="4" fontId="35" fillId="24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80" fillId="46" borderId="66" applyNumberFormat="0" applyProtection="0">
      <alignment horizontal="left" vertical="top" indent="1"/>
    </xf>
    <xf numFmtId="0" fontId="80" fillId="42" borderId="66" applyNumberFormat="0" applyProtection="0">
      <alignment horizontal="left" vertical="center" indent="1"/>
    </xf>
    <xf numFmtId="0" fontId="80" fillId="42" borderId="66" applyNumberFormat="0" applyProtection="0">
      <alignment horizontal="left" vertical="top" indent="1"/>
    </xf>
    <xf numFmtId="0" fontId="80" fillId="48" borderId="66" applyNumberFormat="0" applyProtection="0">
      <alignment horizontal="left" vertical="center" indent="1"/>
    </xf>
    <xf numFmtId="0" fontId="80" fillId="48" borderId="66" applyNumberFormat="0" applyProtection="0">
      <alignment horizontal="left" vertical="top" indent="1"/>
    </xf>
    <xf numFmtId="0" fontId="80" fillId="49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top" indent="1"/>
    </xf>
    <xf numFmtId="4" fontId="35" fillId="39" borderId="66" applyNumberFormat="0" applyProtection="0">
      <alignment vertical="center"/>
    </xf>
    <xf numFmtId="4" fontId="116" fillId="39" borderId="66" applyNumberFormat="0" applyProtection="0">
      <alignment vertical="center"/>
    </xf>
    <xf numFmtId="4" fontId="35" fillId="39" borderId="66" applyNumberFormat="0" applyProtection="0">
      <alignment horizontal="left" vertical="center" indent="1"/>
    </xf>
    <xf numFmtId="0" fontId="35" fillId="39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4" fontId="116" fillId="45" borderId="66" applyNumberFormat="0" applyProtection="0">
      <alignment horizontal="right" vertical="center"/>
    </xf>
    <xf numFmtId="4" fontId="35" fillId="47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107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4" fontId="35" fillId="47" borderId="66" applyNumberFormat="0" applyProtection="0">
      <alignment horizontal="right" vertical="center"/>
    </xf>
    <xf numFmtId="0" fontId="80" fillId="48" borderId="66" applyNumberFormat="0" applyProtection="0">
      <alignment horizontal="left" vertical="top" indent="1"/>
    </xf>
    <xf numFmtId="4" fontId="35" fillId="45" borderId="66" applyNumberFormat="0" applyProtection="0">
      <alignment horizontal="right" vertical="center"/>
    </xf>
    <xf numFmtId="0" fontId="99" fillId="19" borderId="56" applyNumberFormat="0" applyAlignment="0" applyProtection="0"/>
    <xf numFmtId="0" fontId="122" fillId="0" borderId="69" applyNumberFormat="0" applyFill="0" applyAlignment="0" applyProtection="0">
      <alignment vertical="center"/>
    </xf>
    <xf numFmtId="4" fontId="35" fillId="16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0" fontId="100" fillId="19" borderId="56" applyNumberFormat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99" fillId="19" borderId="56" applyNumberFormat="0" applyAlignment="0" applyProtection="0"/>
    <xf numFmtId="0" fontId="80" fillId="49" borderId="66" applyNumberFormat="0" applyProtection="0">
      <alignment horizontal="left" vertical="center" indent="1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4" fontId="35" fillId="39" borderId="66" applyNumberForma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99" fillId="19" borderId="56" applyNumberFormat="0" applyAlignment="0" applyProtection="0"/>
    <xf numFmtId="4" fontId="35" fillId="24" borderId="66" applyNumberFormat="0" applyProtection="0">
      <alignment horizontal="right" vertical="center"/>
    </xf>
    <xf numFmtId="0" fontId="6" fillId="22" borderId="64" applyNumberFormat="0" applyFont="0" applyAlignment="0" applyProtection="0">
      <alignment vertical="center"/>
    </xf>
    <xf numFmtId="4" fontId="35" fillId="45" borderId="66" applyNumberFormat="0" applyProtection="0">
      <alignment horizontal="right" vertical="center"/>
    </xf>
    <xf numFmtId="0" fontId="80" fillId="48" borderId="66" applyNumberFormat="0" applyProtection="0">
      <alignment horizontal="left" vertical="center" indent="1"/>
    </xf>
    <xf numFmtId="0" fontId="69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4" fontId="35" fillId="16" borderId="66" applyNumberFormat="0" applyProtection="0">
      <alignment horizontal="right"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99" fillId="19" borderId="56" applyNumberFormat="0" applyAlignment="0" applyProtection="0"/>
    <xf numFmtId="0" fontId="109" fillId="26" borderId="65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4" fontId="113" fillId="27" borderId="66" applyNumberFormat="0" applyProtection="0">
      <alignment vertical="center"/>
    </xf>
    <xf numFmtId="0" fontId="100" fillId="19" borderId="56" applyNumberFormat="0" applyAlignment="0" applyProtection="0">
      <alignment vertical="center"/>
    </xf>
    <xf numFmtId="4" fontId="35" fillId="25" borderId="66" applyNumberFormat="0" applyProtection="0">
      <alignment horizontal="right"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4" fontId="35" fillId="47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top" indent="1"/>
    </xf>
    <xf numFmtId="0" fontId="35" fillId="39" borderId="66" applyNumberFormat="0" applyProtection="0">
      <alignment horizontal="left" vertical="top" indent="1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107" fillId="22" borderId="64" applyNumberFormat="0" applyFont="0" applyAlignment="0" applyProtection="0"/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71" fillId="26" borderId="56" applyNumberFormat="0" applyAlignment="0" applyProtection="0"/>
    <xf numFmtId="4" fontId="35" fillId="34" borderId="66" applyNumberFormat="0" applyProtection="0">
      <alignment horizontal="right" vertical="center"/>
    </xf>
    <xf numFmtId="0" fontId="80" fillId="42" borderId="66" applyNumberFormat="0" applyProtection="0">
      <alignment horizontal="left" vertical="center" indent="1"/>
    </xf>
    <xf numFmtId="4" fontId="116" fillId="39" borderId="66" applyNumberFormat="0" applyProtection="0">
      <alignment vertical="center"/>
    </xf>
    <xf numFmtId="0" fontId="35" fillId="42" borderId="66" applyNumberFormat="0" applyProtection="0">
      <alignment horizontal="left" vertical="top" indent="1"/>
    </xf>
    <xf numFmtId="0" fontId="18" fillId="22" borderId="64" applyNumberFormat="0" applyFont="0" applyAlignment="0" applyProtection="0">
      <alignment vertical="center"/>
    </xf>
    <xf numFmtId="4" fontId="35" fillId="21" borderId="66" applyNumberFormat="0" applyProtection="0">
      <alignment horizontal="right" vertical="center"/>
    </xf>
    <xf numFmtId="4" fontId="35" fillId="25" borderId="66" applyNumberFormat="0" applyProtection="0">
      <alignment horizontal="right" vertical="center"/>
    </xf>
    <xf numFmtId="4" fontId="35" fillId="31" borderId="66" applyNumberFormat="0" applyProtection="0">
      <alignment horizontal="right" vertical="center"/>
    </xf>
    <xf numFmtId="4" fontId="35" fillId="35" borderId="66" applyNumberFormat="0" applyProtection="0">
      <alignment horizontal="right" vertical="center"/>
    </xf>
    <xf numFmtId="4" fontId="113" fillId="41" borderId="66" applyNumberFormat="0" applyProtection="0">
      <alignment horizontal="left" vertical="center" indent="1"/>
    </xf>
    <xf numFmtId="4" fontId="35" fillId="34" borderId="66" applyNumberFormat="0" applyProtection="0">
      <alignment horizontal="right" vertical="center"/>
    </xf>
    <xf numFmtId="4" fontId="35" fillId="43" borderId="66" applyNumberFormat="0" applyProtection="0">
      <alignment horizontal="right" vertical="center"/>
    </xf>
    <xf numFmtId="4" fontId="35" fillId="47" borderId="66" applyNumberFormat="0" applyProtection="0">
      <alignment horizontal="right" vertical="center"/>
    </xf>
    <xf numFmtId="0" fontId="80" fillId="46" borderId="66" applyNumberFormat="0" applyProtection="0">
      <alignment horizontal="left" vertical="top" indent="1"/>
    </xf>
    <xf numFmtId="4" fontId="35" fillId="47" borderId="66" applyNumberFormat="0" applyProtection="0">
      <alignment horizontal="left" vertical="center" indent="1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7" fillId="22" borderId="64" applyNumberFormat="0" applyFont="0" applyAlignment="0" applyProtection="0"/>
    <xf numFmtId="0" fontId="99" fillId="19" borderId="56" applyNumberFormat="0" applyAlignment="0" applyProtection="0"/>
    <xf numFmtId="0" fontId="72" fillId="26" borderId="56" applyNumberFormat="0" applyAlignment="0" applyProtection="0">
      <alignment vertical="center"/>
    </xf>
    <xf numFmtId="0" fontId="80" fillId="22" borderId="64" applyNumberFormat="0" applyFont="0" applyAlignment="0" applyProtection="0"/>
    <xf numFmtId="4" fontId="113" fillId="27" borderId="66" applyNumberFormat="0" applyProtection="0">
      <alignment vertical="center"/>
    </xf>
    <xf numFmtId="0" fontId="80" fillId="42" borderId="66" applyNumberFormat="0" applyProtection="0">
      <alignment horizontal="left" vertical="center" indent="1"/>
    </xf>
    <xf numFmtId="0" fontId="122" fillId="0" borderId="69" applyNumberFormat="0" applyFill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4" fontId="35" fillId="39" borderId="66" applyNumberFormat="0" applyProtection="0">
      <alignment vertical="center"/>
    </xf>
    <xf numFmtId="0" fontId="100" fillId="19" borderId="56" applyNumberFormat="0" applyAlignment="0" applyProtection="0">
      <alignment vertical="center"/>
    </xf>
    <xf numFmtId="0" fontId="108" fillId="26" borderId="65" applyNumberFormat="0" applyAlignment="0" applyProtection="0"/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55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76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0" fillId="27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206" fillId="0" borderId="69" applyNumberFormat="0" applyFill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213" fillId="26" borderId="65" applyNumberForma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42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07" fillId="22" borderId="64" applyNumberFormat="0" applyFont="0" applyAlignment="0" applyProtection="0"/>
    <xf numFmtId="0" fontId="72" fillId="26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4" fontId="35" fillId="43" borderId="66" applyNumberFormat="0" applyProtection="0">
      <alignment horizontal="right" vertical="center"/>
    </xf>
    <xf numFmtId="0" fontId="80" fillId="42" borderId="66" applyNumberFormat="0" applyProtection="0">
      <alignment horizontal="left" vertical="top" indent="1"/>
    </xf>
    <xf numFmtId="4" fontId="35" fillId="39" borderId="66" applyNumberFormat="0" applyProtection="0">
      <alignment horizontal="left" vertical="center" indent="1"/>
    </xf>
    <xf numFmtId="4" fontId="118" fillId="45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18" fillId="22" borderId="64" applyNumberFormat="0" applyFont="0" applyAlignment="0" applyProtection="0">
      <alignment vertical="center"/>
    </xf>
    <xf numFmtId="4" fontId="116" fillId="45" borderId="66" applyNumberFormat="0" applyProtection="0">
      <alignment horizontal="right" vertical="center"/>
    </xf>
    <xf numFmtId="0" fontId="6" fillId="22" borderId="64" applyNumberFormat="0" applyFont="0" applyAlignment="0" applyProtection="0">
      <alignment vertical="center"/>
    </xf>
    <xf numFmtId="4" fontId="35" fillId="39" borderId="66" applyNumberFormat="0" applyProtection="0">
      <alignment horizontal="left" vertical="center" indent="1"/>
    </xf>
    <xf numFmtId="0" fontId="80" fillId="49" borderId="66" applyNumberFormat="0" applyProtection="0">
      <alignment horizontal="left" vertical="center" indent="1"/>
    </xf>
    <xf numFmtId="0" fontId="35" fillId="42" borderId="66" applyNumberFormat="0" applyProtection="0">
      <alignment horizontal="left" vertical="top" indent="1"/>
    </xf>
    <xf numFmtId="0" fontId="113" fillId="0" borderId="69" applyNumberFormat="0" applyFill="0" applyAlignment="0" applyProtection="0"/>
    <xf numFmtId="0" fontId="122" fillId="0" borderId="69" applyNumberFormat="0" applyFill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7" fillId="19" borderId="56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71" fillId="26" borderId="56" applyNumberFormat="0" applyAlignment="0" applyProtection="0"/>
    <xf numFmtId="0" fontId="122" fillId="0" borderId="69" applyNumberFormat="0" applyFill="0" applyAlignment="0" applyProtection="0">
      <alignment vertical="center"/>
    </xf>
    <xf numFmtId="0" fontId="99" fillId="19" borderId="56" applyNumberFormat="0" applyAlignment="0" applyProtection="0"/>
    <xf numFmtId="0" fontId="6" fillId="22" borderId="64" applyNumberFormat="0" applyFon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51" fillId="20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109" fillId="26" borderId="65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65" fillId="20" borderId="65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64" fillId="0" borderId="69" applyNumberFormat="0" applyFill="0" applyAlignment="0" applyProtection="0">
      <alignment vertical="center"/>
    </xf>
    <xf numFmtId="0" fontId="166" fillId="26" borderId="65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4" fontId="35" fillId="35" borderId="66" applyNumberFormat="0" applyProtection="0">
      <alignment horizontal="right"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" fontId="114" fillId="41" borderId="66" applyNumberFormat="0" applyProtection="0">
      <alignment vertical="center"/>
    </xf>
    <xf numFmtId="0" fontId="113" fillId="0" borderId="69" applyNumberFormat="0" applyFill="0" applyAlignment="0" applyProtection="0"/>
    <xf numFmtId="0" fontId="6" fillId="22" borderId="64" applyNumberFormat="0" applyFont="0" applyAlignment="0" applyProtection="0">
      <alignment vertical="center"/>
    </xf>
    <xf numFmtId="0" fontId="57" fillId="22" borderId="64" applyNumberFormat="0" applyFont="0" applyAlignment="0" applyProtection="0">
      <alignment vertical="center"/>
    </xf>
    <xf numFmtId="4" fontId="35" fillId="21" borderId="66" applyNumberFormat="0" applyProtection="0">
      <alignment horizontal="right" vertical="center"/>
    </xf>
    <xf numFmtId="0" fontId="6" fillId="22" borderId="64" applyNumberFormat="0" applyFont="0" applyAlignment="0" applyProtection="0">
      <alignment vertical="center"/>
    </xf>
    <xf numFmtId="0" fontId="152" fillId="26" borderId="56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22" fillId="0" borderId="69" applyNumberFormat="0" applyFill="0" applyAlignment="0" applyProtection="0">
      <alignment vertical="center"/>
    </xf>
    <xf numFmtId="0" fontId="163" fillId="0" borderId="73" applyNumberFormat="0" applyFill="0" applyAlignment="0" applyProtection="0">
      <alignment vertical="center"/>
    </xf>
    <xf numFmtId="0" fontId="99" fillId="19" borderId="56" applyNumberFormat="0" applyAlignment="0" applyProtection="0"/>
    <xf numFmtId="0" fontId="80" fillId="48" borderId="66" applyNumberFormat="0" applyProtection="0">
      <alignment horizontal="left" vertical="center" indent="1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4" fontId="35" fillId="24" borderId="66" applyNumberFormat="0" applyProtection="0">
      <alignment horizontal="right" vertical="center"/>
    </xf>
    <xf numFmtId="0" fontId="80" fillId="46" borderId="66" applyNumberFormat="0" applyProtection="0">
      <alignment horizontal="left" vertical="center" indent="1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72" fillId="26" borderId="56" applyNumberFormat="0" applyAlignment="0" applyProtection="0">
      <alignment vertical="center"/>
    </xf>
    <xf numFmtId="0" fontId="107" fillId="22" borderId="64" applyNumberFormat="0" applyFont="0" applyAlignment="0" applyProtection="0"/>
    <xf numFmtId="0" fontId="6" fillId="22" borderId="64" applyNumberFormat="0" applyFont="0" applyAlignment="0" applyProtection="0">
      <alignment vertical="center"/>
    </xf>
    <xf numFmtId="4" fontId="114" fillId="41" borderId="66" applyNumberFormat="0" applyProtection="0">
      <alignment vertical="center"/>
    </xf>
    <xf numFmtId="0" fontId="80" fillId="42" borderId="66" applyNumberFormat="0" applyProtection="0">
      <alignment horizontal="left" vertical="top" indent="1"/>
    </xf>
    <xf numFmtId="4" fontId="116" fillId="45" borderId="66" applyNumberFormat="0" applyProtection="0">
      <alignment horizontal="right" vertical="center"/>
    </xf>
    <xf numFmtId="4" fontId="116" fillId="39" borderId="66" applyNumberFormat="0" applyProtection="0">
      <alignment vertical="center"/>
    </xf>
    <xf numFmtId="0" fontId="80" fillId="48" borderId="66" applyNumberFormat="0" applyProtection="0">
      <alignment horizontal="left" vertical="top" indent="1"/>
    </xf>
    <xf numFmtId="0" fontId="113" fillId="41" borderId="66" applyNumberFormat="0" applyProtection="0">
      <alignment horizontal="left" vertical="top" indent="1"/>
    </xf>
    <xf numFmtId="0" fontId="109" fillId="26" borderId="65" applyNumberFormat="0" applyAlignment="0" applyProtection="0">
      <alignment vertical="center"/>
    </xf>
    <xf numFmtId="0" fontId="35" fillId="39" borderId="66" applyNumberFormat="0" applyProtection="0">
      <alignment horizontal="left" vertical="top" indent="1"/>
    </xf>
    <xf numFmtId="0" fontId="80" fillId="49" borderId="66" applyNumberFormat="0" applyProtection="0">
      <alignment horizontal="left" vertical="top" indent="1"/>
    </xf>
    <xf numFmtId="4" fontId="118" fillId="45" borderId="66" applyNumberFormat="0" applyProtection="0">
      <alignment horizontal="right"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80" fillId="22" borderId="64" applyNumberFormat="0" applyFont="0" applyAlignment="0" applyProtection="0"/>
    <xf numFmtId="0" fontId="176" fillId="19" borderId="56" applyNumberFormat="0" applyAlignment="0" applyProtection="0">
      <alignment vertical="center"/>
    </xf>
    <xf numFmtId="0" fontId="146" fillId="26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7" fillId="22" borderId="64" applyNumberFormat="0" applyFont="0" applyAlignment="0" applyProtection="0">
      <alignment vertical="center"/>
    </xf>
    <xf numFmtId="0" fontId="69" fillId="22" borderId="64" applyNumberFormat="0" applyFont="0" applyAlignment="0" applyProtection="0">
      <alignment vertical="center"/>
    </xf>
    <xf numFmtId="0" fontId="18" fillId="22" borderId="64" applyNumberFormat="0" applyFont="0" applyAlignment="0" applyProtection="0">
      <alignment vertical="center"/>
    </xf>
    <xf numFmtId="4" fontId="35" fillId="31" borderId="66" applyNumberFormat="0" applyProtection="0">
      <alignment horizontal="right" vertical="center"/>
    </xf>
    <xf numFmtId="4" fontId="35" fillId="33" borderId="66" applyNumberFormat="0" applyProtection="0">
      <alignment horizontal="right" vertical="center"/>
    </xf>
    <xf numFmtId="0" fontId="113" fillId="41" borderId="66" applyNumberFormat="0" applyProtection="0">
      <alignment horizontal="left" vertical="top" indent="1"/>
    </xf>
    <xf numFmtId="4" fontId="113" fillId="41" borderId="66" applyNumberFormat="0" applyProtection="0">
      <alignment horizontal="left" vertical="center" indent="1"/>
    </xf>
    <xf numFmtId="0" fontId="108" fillId="26" borderId="65" applyNumberFormat="0" applyAlignment="0" applyProtection="0"/>
    <xf numFmtId="0" fontId="6" fillId="22" borderId="64" applyNumberFormat="0" applyFont="0" applyAlignment="0" applyProtection="0">
      <alignment vertical="center"/>
    </xf>
    <xf numFmtId="0" fontId="207" fillId="19" borderId="56" applyNumberForma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6" fillId="22" borderId="64" applyNumberFormat="0" applyFont="0" applyAlignment="0" applyProtection="0">
      <alignment vertical="center"/>
    </xf>
    <xf numFmtId="0" fontId="100" fillId="19" borderId="56" applyNumberFormat="0" applyAlignment="0" applyProtection="0">
      <alignment vertical="center"/>
    </xf>
    <xf numFmtId="0" fontId="80" fillId="46" borderId="66" applyNumberFormat="0" applyProtection="0">
      <alignment horizontal="left" vertical="top" indent="1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0" fontId="99" fillId="19" borderId="56" applyNumberFormat="0" applyAlignment="0" applyProtection="0"/>
    <xf numFmtId="0" fontId="99" fillId="19" borderId="56" applyNumberFormat="0" applyAlignment="0" applyProtection="0"/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99" fillId="19" borderId="56" applyNumberFormat="0" applyAlignment="0" applyProtection="0"/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99" fillId="19" borderId="56" applyNumberFormat="0" applyAlignment="0" applyProtection="0"/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0" borderId="0">
      <alignment vertical="center"/>
    </xf>
    <xf numFmtId="0" fontId="2" fillId="9" borderId="33" applyNumberFormat="0" applyAlignment="0" applyProtection="0">
      <alignment vertical="center"/>
    </xf>
    <xf numFmtId="0" fontId="2" fillId="54" borderId="33">
      <alignment vertical="center"/>
    </xf>
    <xf numFmtId="0" fontId="192" fillId="0" borderId="0">
      <alignment vertical="center"/>
    </xf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190" fontId="69" fillId="0" borderId="0" applyFill="0" applyBorder="0" applyAlignment="0"/>
    <xf numFmtId="0" fontId="99" fillId="19" borderId="56" applyNumberFormat="0" applyAlignment="0" applyProtection="0"/>
    <xf numFmtId="10" fontId="88" fillId="39" borderId="2" applyNumberFormat="0" applyBorder="0" applyAlignment="0" applyProtection="0"/>
    <xf numFmtId="9" fontId="55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/>
    <xf numFmtId="9" fontId="55" fillId="0" borderId="0" applyFon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top"/>
      <protection locked="0"/>
    </xf>
    <xf numFmtId="0" fontId="134" fillId="0" borderId="0" applyNumberFormat="0" applyFill="0" applyBorder="0" applyAlignment="0" applyProtection="0">
      <alignment vertical="top"/>
      <protection locked="0"/>
    </xf>
    <xf numFmtId="0" fontId="137" fillId="0" borderId="0" applyNumberFormat="0" applyFill="0" applyBorder="0" applyAlignment="0" applyProtection="0">
      <alignment vertical="top"/>
      <protection locked="0"/>
    </xf>
    <xf numFmtId="0" fontId="138" fillId="0" borderId="0" applyNumberFormat="0" applyFill="0" applyBorder="0" applyAlignment="0" applyProtection="0">
      <alignment vertical="top"/>
      <protection locked="0"/>
    </xf>
    <xf numFmtId="0" fontId="139" fillId="0" borderId="0" applyNumberFormat="0" applyFill="0" applyBorder="0" applyAlignment="0" applyProtection="0">
      <alignment vertical="center"/>
    </xf>
    <xf numFmtId="0" fontId="41" fillId="9" borderId="33" applyNumberFormat="0" applyAlignment="0" applyProtection="0">
      <alignment vertical="center"/>
    </xf>
    <xf numFmtId="0" fontId="41" fillId="9" borderId="33" applyNumberFormat="0" applyAlignment="0" applyProtection="0">
      <alignment vertical="center"/>
    </xf>
    <xf numFmtId="0" fontId="218" fillId="13" borderId="68" applyNumberFormat="0" applyAlignment="0" applyProtection="0">
      <alignment vertical="center"/>
    </xf>
    <xf numFmtId="0" fontId="218" fillId="13" borderId="68" applyNumberFormat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156" fillId="0" borderId="0" applyFont="0" applyFill="0" applyBorder="0" applyAlignment="0" applyProtection="0"/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5" fillId="0" borderId="0" applyFont="0" applyFill="0" applyBorder="0" applyAlignment="0" applyProtection="0">
      <alignment vertical="center"/>
    </xf>
    <xf numFmtId="38" fontId="56" fillId="0" borderId="0" applyFont="0" applyFill="0" applyBorder="0" applyAlignment="0" applyProtection="0">
      <alignment vertical="center"/>
    </xf>
    <xf numFmtId="38" fontId="56" fillId="0" borderId="0" applyFont="0" applyFill="0" applyBorder="0" applyAlignment="0" applyProtection="0">
      <alignment vertical="center"/>
    </xf>
    <xf numFmtId="0" fontId="57" fillId="0" borderId="0">
      <alignment vertical="center"/>
    </xf>
    <xf numFmtId="0" fontId="6" fillId="0" borderId="0"/>
    <xf numFmtId="0" fontId="6" fillId="0" borderId="0">
      <alignment vertical="center"/>
    </xf>
    <xf numFmtId="0" fontId="178" fillId="0" borderId="0">
      <alignment vertical="center"/>
    </xf>
    <xf numFmtId="0" fontId="178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179" fillId="0" borderId="0">
      <alignment vertical="center"/>
    </xf>
    <xf numFmtId="0" fontId="18" fillId="0" borderId="0"/>
    <xf numFmtId="0" fontId="11" fillId="0" borderId="0"/>
    <xf numFmtId="0" fontId="180" fillId="0" borderId="0">
      <alignment vertical="center"/>
    </xf>
    <xf numFmtId="0" fontId="5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6" fillId="0" borderId="0"/>
    <xf numFmtId="0" fontId="181" fillId="0" borderId="0"/>
    <xf numFmtId="0" fontId="181" fillId="0" borderId="0"/>
    <xf numFmtId="0" fontId="181" fillId="0" borderId="0"/>
    <xf numFmtId="0" fontId="181" fillId="0" borderId="0"/>
    <xf numFmtId="0" fontId="181" fillId="0" borderId="0"/>
    <xf numFmtId="0" fontId="181" fillId="0" borderId="0"/>
    <xf numFmtId="0" fontId="8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7" fillId="0" borderId="0">
      <alignment vertical="center"/>
    </xf>
    <xf numFmtId="0" fontId="6" fillId="0" borderId="0"/>
    <xf numFmtId="0" fontId="186" fillId="0" borderId="0">
      <alignment vertical="center"/>
    </xf>
    <xf numFmtId="0" fontId="6" fillId="0" borderId="0"/>
    <xf numFmtId="0" fontId="6" fillId="0" borderId="0"/>
    <xf numFmtId="0" fontId="190" fillId="0" borderId="0">
      <alignment vertical="center"/>
    </xf>
    <xf numFmtId="0" fontId="6" fillId="0" borderId="0">
      <alignment vertical="center"/>
    </xf>
    <xf numFmtId="0" fontId="41" fillId="0" borderId="0">
      <alignment vertical="center"/>
    </xf>
    <xf numFmtId="0" fontId="4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7" fillId="0" borderId="0">
      <alignment vertical="center"/>
    </xf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57" fillId="0" borderId="0">
      <alignment vertical="center"/>
    </xf>
    <xf numFmtId="0" fontId="178" fillId="0" borderId="0">
      <alignment vertical="center"/>
    </xf>
    <xf numFmtId="0" fontId="217" fillId="14" borderId="0" applyNumberFormat="0" applyBorder="0" applyAlignment="0" applyProtection="0">
      <alignment vertical="center"/>
    </xf>
    <xf numFmtId="0" fontId="217" fillId="14" borderId="0" applyNumberFormat="0" applyBorder="0" applyAlignment="0" applyProtection="0">
      <alignment vertical="center"/>
    </xf>
    <xf numFmtId="0" fontId="192" fillId="0" borderId="0">
      <alignment vertical="center"/>
    </xf>
    <xf numFmtId="38" fontId="8" fillId="0" borderId="0" applyFont="0" applyFill="0" applyBorder="0" applyAlignment="0" applyProtection="0">
      <alignment vertical="center"/>
    </xf>
    <xf numFmtId="0" fontId="192" fillId="0" borderId="0">
      <alignment vertical="center"/>
    </xf>
    <xf numFmtId="38" fontId="8" fillId="0" borderId="0" applyFont="0" applyFill="0" applyBorder="0" applyAlignment="0" applyProtection="0">
      <alignment vertical="center"/>
    </xf>
    <xf numFmtId="0" fontId="192" fillId="0" borderId="0">
      <alignment vertical="center"/>
    </xf>
    <xf numFmtId="0" fontId="192" fillId="0" borderId="0">
      <alignment vertical="center"/>
    </xf>
    <xf numFmtId="38" fontId="8" fillId="0" borderId="0" applyFont="0" applyFill="0" applyBorder="0" applyAlignment="0" applyProtection="0">
      <alignment vertical="center"/>
    </xf>
    <xf numFmtId="0" fontId="192" fillId="0" borderId="0">
      <alignment vertical="center"/>
    </xf>
    <xf numFmtId="0" fontId="192" fillId="0" borderId="0">
      <alignment vertical="center"/>
    </xf>
    <xf numFmtId="0" fontId="192" fillId="0" borderId="0">
      <alignment vertical="center"/>
    </xf>
    <xf numFmtId="0" fontId="192" fillId="0" borderId="0">
      <alignment vertical="center"/>
    </xf>
    <xf numFmtId="0" fontId="192" fillId="0" borderId="0">
      <alignment vertical="center"/>
    </xf>
    <xf numFmtId="0" fontId="192" fillId="0" borderId="0">
      <alignment vertical="center"/>
    </xf>
    <xf numFmtId="0" fontId="192" fillId="0" borderId="0">
      <alignment vertical="center"/>
    </xf>
    <xf numFmtId="0" fontId="192" fillId="0" borderId="0">
      <alignment vertical="center"/>
    </xf>
    <xf numFmtId="0" fontId="192" fillId="0" borderId="0">
      <alignment vertical="center"/>
    </xf>
    <xf numFmtId="0" fontId="192" fillId="0" borderId="0">
      <alignment vertical="center"/>
    </xf>
    <xf numFmtId="0" fontId="192" fillId="0" borderId="0">
      <alignment vertical="center"/>
    </xf>
    <xf numFmtId="0" fontId="107" fillId="22" borderId="91" applyNumberFormat="0" applyFont="0" applyAlignment="0" applyProtection="0"/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0" fontId="71" fillId="26" borderId="96" applyNumberFormat="0" applyAlignment="0" applyProtection="0"/>
    <xf numFmtId="0" fontId="72" fillId="26" borderId="96" applyNumberFormat="0" applyAlignment="0" applyProtection="0">
      <alignment vertical="center"/>
    </xf>
    <xf numFmtId="0" fontId="91" fillId="0" borderId="80">
      <alignment horizontal="left" vertical="center"/>
    </xf>
    <xf numFmtId="0" fontId="99" fillId="19" borderId="96" applyNumberFormat="0" applyAlignment="0" applyProtection="0"/>
    <xf numFmtId="10" fontId="88" fillId="39" borderId="2" applyNumberFormat="0" applyBorder="0" applyAlignment="0" applyProtection="0"/>
    <xf numFmtId="0" fontId="100" fillId="19" borderId="96" applyNumberFormat="0" applyAlignment="0" applyProtection="0">
      <alignment vertical="center"/>
    </xf>
    <xf numFmtId="0" fontId="80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8" fillId="26" borderId="92" applyNumberFormat="0" applyAlignment="0" applyProtection="0"/>
    <xf numFmtId="0" fontId="109" fillId="26" borderId="92" applyNumberFormat="0" applyAlignment="0" applyProtection="0">
      <alignment vertical="center"/>
    </xf>
    <xf numFmtId="4" fontId="113" fillId="27" borderId="93" applyNumberFormat="0" applyProtection="0">
      <alignment vertical="center"/>
    </xf>
    <xf numFmtId="4" fontId="114" fillId="41" borderId="93" applyNumberFormat="0" applyProtection="0">
      <alignment vertical="center"/>
    </xf>
    <xf numFmtId="4" fontId="113" fillId="41" borderId="93" applyNumberFormat="0" applyProtection="0">
      <alignment horizontal="left" vertical="center" indent="1"/>
    </xf>
    <xf numFmtId="0" fontId="113" fillId="41" borderId="93" applyNumberFormat="0" applyProtection="0">
      <alignment horizontal="left" vertical="top" indent="1"/>
    </xf>
    <xf numFmtId="4" fontId="35" fillId="16" borderId="93" applyNumberFormat="0" applyProtection="0">
      <alignment horizontal="right" vertical="center"/>
    </xf>
    <xf numFmtId="4" fontId="35" fillId="2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35" fillId="34" borderId="93" applyNumberFormat="0" applyProtection="0">
      <alignment horizontal="right" vertical="center"/>
    </xf>
    <xf numFmtId="4" fontId="35" fillId="43" borderId="93" applyNumberFormat="0" applyProtection="0">
      <alignment horizontal="right" vertical="center"/>
    </xf>
    <xf numFmtId="4" fontId="35" fillId="24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80" fillId="46" borderId="93" applyNumberFormat="0" applyProtection="0">
      <alignment horizontal="left" vertical="top" indent="1"/>
    </xf>
    <xf numFmtId="0" fontId="80" fillId="42" borderId="93" applyNumberFormat="0" applyProtection="0">
      <alignment horizontal="left" vertical="center" indent="1"/>
    </xf>
    <xf numFmtId="0" fontId="80" fillId="42" borderId="93" applyNumberFormat="0" applyProtection="0">
      <alignment horizontal="left" vertical="top" indent="1"/>
    </xf>
    <xf numFmtId="0" fontId="80" fillId="48" borderId="93" applyNumberFormat="0" applyProtection="0">
      <alignment horizontal="left" vertical="center" indent="1"/>
    </xf>
    <xf numFmtId="0" fontId="80" fillId="48" borderId="93" applyNumberFormat="0" applyProtection="0">
      <alignment horizontal="left" vertical="top" indent="1"/>
    </xf>
    <xf numFmtId="0" fontId="80" fillId="49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top" indent="1"/>
    </xf>
    <xf numFmtId="4" fontId="35" fillId="39" borderId="93" applyNumberFormat="0" applyProtection="0">
      <alignment vertical="center"/>
    </xf>
    <xf numFmtId="4" fontId="116" fillId="39" borderId="93" applyNumberFormat="0" applyProtection="0">
      <alignment vertical="center"/>
    </xf>
    <xf numFmtId="4" fontId="35" fillId="39" borderId="93" applyNumberFormat="0" applyProtection="0">
      <alignment horizontal="left" vertical="center" indent="1"/>
    </xf>
    <xf numFmtId="0" fontId="35" fillId="39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4" fontId="116" fillId="45" borderId="93" applyNumberFormat="0" applyProtection="0">
      <alignment horizontal="right" vertical="center"/>
    </xf>
    <xf numFmtId="4" fontId="35" fillId="47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8" fillId="0" borderId="79" applyNumberFormat="0" applyFont="0" applyBorder="0" applyAlignment="0">
      <alignment horizontal="center"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99" fillId="19" borderId="96" applyNumberFormat="0" applyAlignment="0" applyProtection="0"/>
    <xf numFmtId="0" fontId="6" fillId="22" borderId="91" applyNumberFormat="0" applyFont="0" applyAlignment="0" applyProtection="0">
      <alignment vertical="center"/>
    </xf>
    <xf numFmtId="0" fontId="204" fillId="0" borderId="80">
      <alignment horizontal="left"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07" fillId="22" borderId="91" applyNumberFormat="0" applyFont="0" applyAlignment="0" applyProtection="0"/>
    <xf numFmtId="0" fontId="107" fillId="22" borderId="91" applyNumberFormat="0" applyFont="0" applyAlignment="0" applyProtection="0"/>
    <xf numFmtId="0" fontId="71" fillId="26" borderId="96" applyNumberFormat="0" applyAlignment="0" applyProtection="0"/>
    <xf numFmtId="0" fontId="72" fillId="26" borderId="96" applyNumberFormat="0" applyAlignment="0" applyProtection="0">
      <alignment vertical="center"/>
    </xf>
    <xf numFmtId="0" fontId="91" fillId="0" borderId="80">
      <alignment horizontal="left" vertical="center"/>
    </xf>
    <xf numFmtId="0" fontId="99" fillId="19" borderId="96" applyNumberFormat="0" applyAlignment="0" applyProtection="0"/>
    <xf numFmtId="10" fontId="88" fillId="39" borderId="2" applyNumberFormat="0" applyBorder="0" applyAlignment="0" applyProtection="0"/>
    <xf numFmtId="0" fontId="100" fillId="19" borderId="96" applyNumberFormat="0" applyAlignment="0" applyProtection="0">
      <alignment vertical="center"/>
    </xf>
    <xf numFmtId="0" fontId="80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8" fillId="26" borderId="92" applyNumberFormat="0" applyAlignment="0" applyProtection="0"/>
    <xf numFmtId="0" fontId="109" fillId="26" borderId="92" applyNumberFormat="0" applyAlignment="0" applyProtection="0">
      <alignment vertical="center"/>
    </xf>
    <xf numFmtId="4" fontId="113" fillId="27" borderId="93" applyNumberFormat="0" applyProtection="0">
      <alignment vertical="center"/>
    </xf>
    <xf numFmtId="4" fontId="114" fillId="41" borderId="93" applyNumberFormat="0" applyProtection="0">
      <alignment vertical="center"/>
    </xf>
    <xf numFmtId="4" fontId="113" fillId="41" borderId="93" applyNumberFormat="0" applyProtection="0">
      <alignment horizontal="left" vertical="center" indent="1"/>
    </xf>
    <xf numFmtId="0" fontId="113" fillId="41" borderId="93" applyNumberFormat="0" applyProtection="0">
      <alignment horizontal="left" vertical="top" indent="1"/>
    </xf>
    <xf numFmtId="4" fontId="35" fillId="16" borderId="93" applyNumberFormat="0" applyProtection="0">
      <alignment horizontal="right" vertical="center"/>
    </xf>
    <xf numFmtId="4" fontId="35" fillId="2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35" fillId="34" borderId="93" applyNumberFormat="0" applyProtection="0">
      <alignment horizontal="right" vertical="center"/>
    </xf>
    <xf numFmtId="4" fontId="35" fillId="43" borderId="93" applyNumberFormat="0" applyProtection="0">
      <alignment horizontal="right" vertical="center"/>
    </xf>
    <xf numFmtId="4" fontId="35" fillId="24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80" fillId="46" borderId="93" applyNumberFormat="0" applyProtection="0">
      <alignment horizontal="left" vertical="top" indent="1"/>
    </xf>
    <xf numFmtId="0" fontId="80" fillId="42" borderId="93" applyNumberFormat="0" applyProtection="0">
      <alignment horizontal="left" vertical="center" indent="1"/>
    </xf>
    <xf numFmtId="0" fontId="80" fillId="42" borderId="93" applyNumberFormat="0" applyProtection="0">
      <alignment horizontal="left" vertical="top" indent="1"/>
    </xf>
    <xf numFmtId="0" fontId="80" fillId="48" borderId="93" applyNumberFormat="0" applyProtection="0">
      <alignment horizontal="left" vertical="center" indent="1"/>
    </xf>
    <xf numFmtId="0" fontId="80" fillId="48" borderId="93" applyNumberFormat="0" applyProtection="0">
      <alignment horizontal="left" vertical="top" indent="1"/>
    </xf>
    <xf numFmtId="0" fontId="80" fillId="49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top" indent="1"/>
    </xf>
    <xf numFmtId="4" fontId="35" fillId="39" borderId="93" applyNumberFormat="0" applyProtection="0">
      <alignment vertical="center"/>
    </xf>
    <xf numFmtId="4" fontId="116" fillId="39" borderId="93" applyNumberFormat="0" applyProtection="0">
      <alignment vertical="center"/>
    </xf>
    <xf numFmtId="4" fontId="35" fillId="39" borderId="93" applyNumberFormat="0" applyProtection="0">
      <alignment horizontal="left" vertical="center" indent="1"/>
    </xf>
    <xf numFmtId="0" fontId="35" fillId="39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4" fontId="116" fillId="45" borderId="93" applyNumberFormat="0" applyProtection="0">
      <alignment horizontal="right" vertical="center"/>
    </xf>
    <xf numFmtId="4" fontId="35" fillId="47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8" fillId="0" borderId="79" applyNumberFormat="0" applyFont="0" applyBorder="0" applyAlignment="0">
      <alignment horizontal="center"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204" fillId="0" borderId="80">
      <alignment horizontal="left"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07" fillId="22" borderId="91" applyNumberFormat="0" applyFon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18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1" fillId="26" borderId="96" applyNumberFormat="0" applyAlignment="0" applyProtection="0"/>
    <xf numFmtId="0" fontId="72" fillId="26" borderId="96" applyNumberFormat="0" applyAlignment="0" applyProtection="0">
      <alignment vertical="center"/>
    </xf>
    <xf numFmtId="0" fontId="99" fillId="19" borderId="96" applyNumberFormat="0" applyAlignment="0" applyProtection="0"/>
    <xf numFmtId="0" fontId="100" fillId="19" borderId="96" applyNumberFormat="0" applyAlignment="0" applyProtection="0">
      <alignment vertical="center"/>
    </xf>
    <xf numFmtId="0" fontId="99" fillId="19" borderId="96" applyNumberFormat="0" applyAlignment="0" applyProtection="0"/>
    <xf numFmtId="0" fontId="99" fillId="19" borderId="96" applyNumberFormat="0" applyAlignment="0" applyProtection="0"/>
    <xf numFmtId="0" fontId="80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8" fillId="26" borderId="92" applyNumberFormat="0" applyAlignment="0" applyProtection="0"/>
    <xf numFmtId="0" fontId="109" fillId="26" borderId="92" applyNumberFormat="0" applyAlignment="0" applyProtection="0">
      <alignment vertical="center"/>
    </xf>
    <xf numFmtId="4" fontId="113" fillId="27" borderId="93" applyNumberFormat="0" applyProtection="0">
      <alignment vertical="center"/>
    </xf>
    <xf numFmtId="4" fontId="114" fillId="41" borderId="93" applyNumberFormat="0" applyProtection="0">
      <alignment vertical="center"/>
    </xf>
    <xf numFmtId="4" fontId="113" fillId="41" borderId="93" applyNumberFormat="0" applyProtection="0">
      <alignment horizontal="left" vertical="center" indent="1"/>
    </xf>
    <xf numFmtId="0" fontId="113" fillId="41" borderId="93" applyNumberFormat="0" applyProtection="0">
      <alignment horizontal="left" vertical="top" indent="1"/>
    </xf>
    <xf numFmtId="4" fontId="35" fillId="16" borderId="93" applyNumberFormat="0" applyProtection="0">
      <alignment horizontal="right" vertical="center"/>
    </xf>
    <xf numFmtId="4" fontId="35" fillId="2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35" fillId="34" borderId="93" applyNumberFormat="0" applyProtection="0">
      <alignment horizontal="right" vertical="center"/>
    </xf>
    <xf numFmtId="4" fontId="35" fillId="43" borderId="93" applyNumberFormat="0" applyProtection="0">
      <alignment horizontal="right" vertical="center"/>
    </xf>
    <xf numFmtId="4" fontId="35" fillId="24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80" fillId="46" borderId="93" applyNumberFormat="0" applyProtection="0">
      <alignment horizontal="left" vertical="top" indent="1"/>
    </xf>
    <xf numFmtId="0" fontId="80" fillId="42" borderId="93" applyNumberFormat="0" applyProtection="0">
      <alignment horizontal="left" vertical="center" indent="1"/>
    </xf>
    <xf numFmtId="0" fontId="80" fillId="42" borderId="93" applyNumberFormat="0" applyProtection="0">
      <alignment horizontal="left" vertical="top" indent="1"/>
    </xf>
    <xf numFmtId="0" fontId="80" fillId="48" borderId="93" applyNumberFormat="0" applyProtection="0">
      <alignment horizontal="left" vertical="center" indent="1"/>
    </xf>
    <xf numFmtId="0" fontId="80" fillId="48" borderId="93" applyNumberFormat="0" applyProtection="0">
      <alignment horizontal="left" vertical="top" indent="1"/>
    </xf>
    <xf numFmtId="0" fontId="80" fillId="49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top" indent="1"/>
    </xf>
    <xf numFmtId="4" fontId="35" fillId="39" borderId="93" applyNumberFormat="0" applyProtection="0">
      <alignment vertical="center"/>
    </xf>
    <xf numFmtId="4" fontId="116" fillId="39" borderId="93" applyNumberFormat="0" applyProtection="0">
      <alignment vertical="center"/>
    </xf>
    <xf numFmtId="4" fontId="35" fillId="39" borderId="93" applyNumberFormat="0" applyProtection="0">
      <alignment horizontal="left" vertical="center" indent="1"/>
    </xf>
    <xf numFmtId="0" fontId="35" fillId="39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4" fontId="116" fillId="45" borderId="93" applyNumberFormat="0" applyProtection="0">
      <alignment horizontal="right" vertical="center"/>
    </xf>
    <xf numFmtId="4" fontId="35" fillId="47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99" fillId="19" borderId="96" applyNumberFormat="0" applyAlignment="0" applyProtection="0"/>
    <xf numFmtId="0" fontId="99" fillId="19" borderId="96" applyNumberFormat="0" applyAlignment="0" applyProtection="0"/>
    <xf numFmtId="0" fontId="6" fillId="22" borderId="91" applyNumberFormat="0" applyFont="0" applyAlignment="0" applyProtection="0">
      <alignment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07" fillId="22" borderId="91" applyNumberFormat="0" applyFont="0" applyAlignment="0" applyProtection="0"/>
    <xf numFmtId="0" fontId="107" fillId="22" borderId="91" applyNumberFormat="0" applyFont="0" applyAlignment="0" applyProtection="0"/>
    <xf numFmtId="0" fontId="108" fillId="26" borderId="92" applyNumberFormat="0" applyAlignment="0" applyProtection="0"/>
    <xf numFmtId="0" fontId="109" fillId="26" borderId="92" applyNumberFormat="0" applyAlignment="0" applyProtection="0">
      <alignment vertical="center"/>
    </xf>
    <xf numFmtId="4" fontId="113" fillId="27" borderId="93" applyNumberFormat="0" applyProtection="0">
      <alignment vertical="center"/>
    </xf>
    <xf numFmtId="4" fontId="114" fillId="41" borderId="93" applyNumberFormat="0" applyProtection="0">
      <alignment vertical="center"/>
    </xf>
    <xf numFmtId="0" fontId="99" fillId="19" borderId="96" applyNumberFormat="0" applyAlignment="0" applyProtection="0"/>
    <xf numFmtId="0" fontId="113" fillId="41" borderId="93" applyNumberFormat="0" applyProtection="0">
      <alignment horizontal="left" vertical="top" indent="1"/>
    </xf>
    <xf numFmtId="4" fontId="35" fillId="16" borderId="93" applyNumberFormat="0" applyProtection="0">
      <alignment horizontal="right" vertical="center"/>
    </xf>
    <xf numFmtId="4" fontId="35" fillId="2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35" fillId="34" borderId="93" applyNumberFormat="0" applyProtection="0">
      <alignment horizontal="right" vertical="center"/>
    </xf>
    <xf numFmtId="4" fontId="113" fillId="41" borderId="93" applyNumberFormat="0" applyProtection="0">
      <alignment horizontal="left" vertical="center" indent="1"/>
    </xf>
    <xf numFmtId="4" fontId="35" fillId="24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80" fillId="46" borderId="93" applyNumberFormat="0" applyProtection="0">
      <alignment horizontal="left" vertical="top" indent="1"/>
    </xf>
    <xf numFmtId="0" fontId="80" fillId="42" borderId="93" applyNumberFormat="0" applyProtection="0">
      <alignment horizontal="left" vertical="center" indent="1"/>
    </xf>
    <xf numFmtId="0" fontId="80" fillId="42" borderId="93" applyNumberFormat="0" applyProtection="0">
      <alignment horizontal="left" vertical="top" indent="1"/>
    </xf>
    <xf numFmtId="0" fontId="80" fillId="48" borderId="93" applyNumberFormat="0" applyProtection="0">
      <alignment horizontal="left" vertical="center" indent="1"/>
    </xf>
    <xf numFmtId="4" fontId="35" fillId="43" borderId="93" applyNumberFormat="0" applyProtection="0">
      <alignment horizontal="right" vertical="center"/>
    </xf>
    <xf numFmtId="0" fontId="80" fillId="49" borderId="93" applyNumberFormat="0" applyProtection="0">
      <alignment horizontal="left" vertical="center" indent="1"/>
    </xf>
    <xf numFmtId="4" fontId="35" fillId="39" borderId="93" applyNumberFormat="0" applyProtection="0">
      <alignment horizontal="left" vertical="center" indent="1"/>
    </xf>
    <xf numFmtId="0" fontId="35" fillId="39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4" fontId="116" fillId="45" borderId="93" applyNumberFormat="0" applyProtection="0">
      <alignment horizontal="right" vertical="center"/>
    </xf>
    <xf numFmtId="0" fontId="80" fillId="48" borderId="93" applyNumberFormat="0" applyProtection="0">
      <alignment horizontal="left" vertical="top" indent="1"/>
    </xf>
    <xf numFmtId="4" fontId="35" fillId="47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07" fillId="22" borderId="91" applyNumberFormat="0" applyFont="0" applyAlignment="0" applyProtection="0"/>
    <xf numFmtId="0" fontId="18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71" fillId="26" borderId="96" applyNumberFormat="0" applyAlignment="0" applyProtection="0"/>
    <xf numFmtId="0" fontId="72" fillId="26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80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7" fillId="22" borderId="91" applyNumberFormat="0" applyFont="0" applyAlignment="0" applyProtection="0"/>
    <xf numFmtId="0" fontId="71" fillId="26" borderId="96" applyNumberFormat="0" applyAlignment="0" applyProtection="0"/>
    <xf numFmtId="0" fontId="72" fillId="26" borderId="96" applyNumberFormat="0" applyAlignment="0" applyProtection="0">
      <alignment vertical="center"/>
    </xf>
    <xf numFmtId="0" fontId="99" fillId="19" borderId="96" applyNumberFormat="0" applyAlignment="0" applyProtection="0"/>
    <xf numFmtId="0" fontId="100" fillId="19" borderId="96" applyNumberFormat="0" applyAlignment="0" applyProtection="0">
      <alignment vertical="center"/>
    </xf>
    <xf numFmtId="0" fontId="80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8" fillId="26" borderId="92" applyNumberFormat="0" applyAlignment="0" applyProtection="0"/>
    <xf numFmtId="0" fontId="109" fillId="26" borderId="92" applyNumberFormat="0" applyAlignment="0" applyProtection="0">
      <alignment vertical="center"/>
    </xf>
    <xf numFmtId="4" fontId="113" fillId="27" borderId="93" applyNumberFormat="0" applyProtection="0">
      <alignment vertical="center"/>
    </xf>
    <xf numFmtId="4" fontId="114" fillId="41" borderId="93" applyNumberFormat="0" applyProtection="0">
      <alignment vertical="center"/>
    </xf>
    <xf numFmtId="4" fontId="113" fillId="41" borderId="93" applyNumberFormat="0" applyProtection="0">
      <alignment horizontal="left" vertical="center" indent="1"/>
    </xf>
    <xf numFmtId="0" fontId="113" fillId="41" borderId="93" applyNumberFormat="0" applyProtection="0">
      <alignment horizontal="left" vertical="top" indent="1"/>
    </xf>
    <xf numFmtId="4" fontId="35" fillId="16" borderId="93" applyNumberFormat="0" applyProtection="0">
      <alignment horizontal="right" vertical="center"/>
    </xf>
    <xf numFmtId="4" fontId="35" fillId="2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35" fillId="34" borderId="93" applyNumberFormat="0" applyProtection="0">
      <alignment horizontal="right" vertical="center"/>
    </xf>
    <xf numFmtId="4" fontId="35" fillId="43" borderId="93" applyNumberFormat="0" applyProtection="0">
      <alignment horizontal="right" vertical="center"/>
    </xf>
    <xf numFmtId="4" fontId="35" fillId="24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80" fillId="46" borderId="93" applyNumberFormat="0" applyProtection="0">
      <alignment horizontal="left" vertical="top" indent="1"/>
    </xf>
    <xf numFmtId="0" fontId="80" fillId="42" borderId="93" applyNumberFormat="0" applyProtection="0">
      <alignment horizontal="left" vertical="center" indent="1"/>
    </xf>
    <xf numFmtId="0" fontId="80" fillId="42" borderId="93" applyNumberFormat="0" applyProtection="0">
      <alignment horizontal="left" vertical="top" indent="1"/>
    </xf>
    <xf numFmtId="0" fontId="80" fillId="48" borderId="93" applyNumberFormat="0" applyProtection="0">
      <alignment horizontal="left" vertical="center" indent="1"/>
    </xf>
    <xf numFmtId="0" fontId="80" fillId="48" borderId="93" applyNumberFormat="0" applyProtection="0">
      <alignment horizontal="left" vertical="top" indent="1"/>
    </xf>
    <xf numFmtId="0" fontId="80" fillId="49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top" indent="1"/>
    </xf>
    <xf numFmtId="4" fontId="35" fillId="39" borderId="93" applyNumberFormat="0" applyProtection="0">
      <alignment vertical="center"/>
    </xf>
    <xf numFmtId="4" fontId="116" fillId="39" borderId="93" applyNumberFormat="0" applyProtection="0">
      <alignment vertical="center"/>
    </xf>
    <xf numFmtId="4" fontId="35" fillId="39" borderId="93" applyNumberFormat="0" applyProtection="0">
      <alignment horizontal="left" vertical="center" indent="1"/>
    </xf>
    <xf numFmtId="0" fontId="35" fillId="39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4" fontId="116" fillId="45" borderId="93" applyNumberFormat="0" applyProtection="0">
      <alignment horizontal="right" vertical="center"/>
    </xf>
    <xf numFmtId="4" fontId="35" fillId="47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07" fillId="22" borderId="91" applyNumberFormat="0" applyFont="0" applyAlignment="0" applyProtection="0"/>
    <xf numFmtId="0" fontId="80" fillId="49" borderId="93" applyNumberFormat="0" applyProtection="0">
      <alignment horizontal="left" vertical="top" indent="1"/>
    </xf>
    <xf numFmtId="4" fontId="116" fillId="39" borderId="93" applyNumberFormat="0" applyProtection="0">
      <alignment vertical="center"/>
    </xf>
    <xf numFmtId="4" fontId="35" fillId="39" borderId="93" applyNumberForma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07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7" fillId="22" borderId="91" applyNumberFormat="0" applyFont="0" applyAlignment="0" applyProtection="0"/>
    <xf numFmtId="0" fontId="71" fillId="26" borderId="96" applyNumberFormat="0" applyAlignment="0" applyProtection="0"/>
    <xf numFmtId="0" fontId="72" fillId="26" borderId="96" applyNumberFormat="0" applyAlignment="0" applyProtection="0">
      <alignment vertical="center"/>
    </xf>
    <xf numFmtId="0" fontId="99" fillId="19" borderId="96" applyNumberFormat="0" applyAlignment="0" applyProtection="0"/>
    <xf numFmtId="0" fontId="100" fillId="19" borderId="96" applyNumberFormat="0" applyAlignment="0" applyProtection="0">
      <alignment vertical="center"/>
    </xf>
    <xf numFmtId="0" fontId="80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8" fillId="26" borderId="92" applyNumberFormat="0" applyAlignment="0" applyProtection="0"/>
    <xf numFmtId="0" fontId="109" fillId="26" borderId="92" applyNumberFormat="0" applyAlignment="0" applyProtection="0">
      <alignment vertical="center"/>
    </xf>
    <xf numFmtId="4" fontId="113" fillId="27" borderId="93" applyNumberFormat="0" applyProtection="0">
      <alignment vertical="center"/>
    </xf>
    <xf numFmtId="4" fontId="114" fillId="41" borderId="93" applyNumberFormat="0" applyProtection="0">
      <alignment vertical="center"/>
    </xf>
    <xf numFmtId="4" fontId="113" fillId="41" borderId="93" applyNumberFormat="0" applyProtection="0">
      <alignment horizontal="left" vertical="center" indent="1"/>
    </xf>
    <xf numFmtId="0" fontId="113" fillId="41" borderId="93" applyNumberFormat="0" applyProtection="0">
      <alignment horizontal="left" vertical="top" indent="1"/>
    </xf>
    <xf numFmtId="4" fontId="35" fillId="16" borderId="93" applyNumberFormat="0" applyProtection="0">
      <alignment horizontal="right" vertical="center"/>
    </xf>
    <xf numFmtId="4" fontId="35" fillId="2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35" fillId="34" borderId="93" applyNumberFormat="0" applyProtection="0">
      <alignment horizontal="right" vertical="center"/>
    </xf>
    <xf numFmtId="4" fontId="35" fillId="43" borderId="93" applyNumberFormat="0" applyProtection="0">
      <alignment horizontal="right" vertical="center"/>
    </xf>
    <xf numFmtId="4" fontId="35" fillId="24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80" fillId="46" borderId="93" applyNumberFormat="0" applyProtection="0">
      <alignment horizontal="left" vertical="top" indent="1"/>
    </xf>
    <xf numFmtId="0" fontId="80" fillId="42" borderId="93" applyNumberFormat="0" applyProtection="0">
      <alignment horizontal="left" vertical="center" indent="1"/>
    </xf>
    <xf numFmtId="0" fontId="80" fillId="42" borderId="93" applyNumberFormat="0" applyProtection="0">
      <alignment horizontal="left" vertical="top" indent="1"/>
    </xf>
    <xf numFmtId="0" fontId="80" fillId="48" borderId="93" applyNumberFormat="0" applyProtection="0">
      <alignment horizontal="left" vertical="center" indent="1"/>
    </xf>
    <xf numFmtId="0" fontId="80" fillId="48" borderId="93" applyNumberFormat="0" applyProtection="0">
      <alignment horizontal="left" vertical="top" indent="1"/>
    </xf>
    <xf numFmtId="0" fontId="80" fillId="49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top" indent="1"/>
    </xf>
    <xf numFmtId="4" fontId="35" fillId="39" borderId="93" applyNumberFormat="0" applyProtection="0">
      <alignment vertical="center"/>
    </xf>
    <xf numFmtId="4" fontId="116" fillId="39" borderId="93" applyNumberFormat="0" applyProtection="0">
      <alignment vertical="center"/>
    </xf>
    <xf numFmtId="4" fontId="35" fillId="39" borderId="93" applyNumberFormat="0" applyProtection="0">
      <alignment horizontal="left" vertical="center" indent="1"/>
    </xf>
    <xf numFmtId="0" fontId="35" fillId="39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4" fontId="116" fillId="45" borderId="93" applyNumberFormat="0" applyProtection="0">
      <alignment horizontal="right" vertical="center"/>
    </xf>
    <xf numFmtId="4" fontId="35" fillId="47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07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4" fontId="35" fillId="47" borderId="93" applyNumberFormat="0" applyProtection="0">
      <alignment horizontal="right" vertical="center"/>
    </xf>
    <xf numFmtId="0" fontId="80" fillId="48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0" fontId="99" fillId="19" borderId="96" applyNumberFormat="0" applyAlignment="0" applyProtection="0"/>
    <xf numFmtId="0" fontId="122" fillId="0" borderId="94" applyNumberFormat="0" applyFill="0" applyAlignment="0" applyProtection="0">
      <alignment vertical="center"/>
    </xf>
    <xf numFmtId="4" fontId="35" fillId="16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0" fontId="100" fillId="19" borderId="96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99" fillId="19" borderId="96" applyNumberFormat="0" applyAlignment="0" applyProtection="0"/>
    <xf numFmtId="0" fontId="80" fillId="49" borderId="93" applyNumberFormat="0" applyProtection="0">
      <alignment horizontal="left" vertical="center" indent="1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4" fontId="35" fillId="39" borderId="93" applyNumberForma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99" fillId="19" borderId="96" applyNumberFormat="0" applyAlignment="0" applyProtection="0"/>
    <xf numFmtId="4" fontId="35" fillId="24" borderId="93" applyNumberFormat="0" applyProtection="0">
      <alignment horizontal="right" vertical="center"/>
    </xf>
    <xf numFmtId="0" fontId="6" fillId="22" borderId="91" applyNumberFormat="0" applyFont="0" applyAlignment="0" applyProtection="0">
      <alignment vertical="center"/>
    </xf>
    <xf numFmtId="4" fontId="35" fillId="45" borderId="93" applyNumberFormat="0" applyProtection="0">
      <alignment horizontal="right" vertical="center"/>
    </xf>
    <xf numFmtId="0" fontId="80" fillId="48" borderId="93" applyNumberFormat="0" applyProtection="0">
      <alignment horizontal="left" vertical="center" indent="1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4" fontId="35" fillId="16" borderId="93" applyNumberFormat="0" applyProtection="0">
      <alignment horizontal="right"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99" fillId="19" borderId="96" applyNumberFormat="0" applyAlignment="0" applyProtection="0"/>
    <xf numFmtId="0" fontId="109" fillId="26" borderId="92" applyNumberFormat="0" applyAlignment="0" applyProtection="0">
      <alignment vertical="center"/>
    </xf>
    <xf numFmtId="0" fontId="99" fillId="19" borderId="96" applyNumberFormat="0" applyAlignment="0" applyProtection="0"/>
    <xf numFmtId="0" fontId="99" fillId="19" borderId="96" applyNumberFormat="0" applyAlignment="0" applyProtection="0"/>
    <xf numFmtId="4" fontId="113" fillId="27" borderId="93" applyNumberFormat="0" applyProtection="0">
      <alignment vertical="center"/>
    </xf>
    <xf numFmtId="0" fontId="100" fillId="19" borderId="96" applyNumberFormat="0" applyAlignment="0" applyProtection="0">
      <alignment vertical="center"/>
    </xf>
    <xf numFmtId="4" fontId="35" fillId="25" borderId="93" applyNumberFormat="0" applyProtection="0">
      <alignment horizontal="right"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4" fontId="35" fillId="47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top" indent="1"/>
    </xf>
    <xf numFmtId="0" fontId="35" fillId="39" borderId="93" applyNumberFormat="0" applyProtection="0">
      <alignment horizontal="left" vertical="top" indent="1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206" fillId="0" borderId="94" applyNumberFormat="0" applyFill="0" applyAlignment="0" applyProtection="0">
      <alignment vertical="center"/>
    </xf>
    <xf numFmtId="0" fontId="107" fillId="22" borderId="91" applyNumberFormat="0" applyFont="0" applyAlignment="0" applyProtection="0"/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71" fillId="26" borderId="96" applyNumberFormat="0" applyAlignment="0" applyProtection="0"/>
    <xf numFmtId="4" fontId="35" fillId="34" borderId="93" applyNumberFormat="0" applyProtection="0">
      <alignment horizontal="right" vertical="center"/>
    </xf>
    <xf numFmtId="0" fontId="80" fillId="42" borderId="93" applyNumberFormat="0" applyProtection="0">
      <alignment horizontal="left" vertical="center" indent="1"/>
    </xf>
    <xf numFmtId="4" fontId="116" fillId="39" borderId="93" applyNumberFormat="0" applyProtection="0">
      <alignment vertical="center"/>
    </xf>
    <xf numFmtId="0" fontId="35" fillId="42" borderId="93" applyNumberFormat="0" applyProtection="0">
      <alignment horizontal="left" vertical="top" indent="1"/>
    </xf>
    <xf numFmtId="0" fontId="18" fillId="22" borderId="91" applyNumberFormat="0" applyFont="0" applyAlignment="0" applyProtection="0">
      <alignment vertical="center"/>
    </xf>
    <xf numFmtId="4" fontId="35" fillId="21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113" fillId="41" borderId="93" applyNumberFormat="0" applyProtection="0">
      <alignment horizontal="left" vertical="center" indent="1"/>
    </xf>
    <xf numFmtId="4" fontId="35" fillId="34" borderId="93" applyNumberFormat="0" applyProtection="0">
      <alignment horizontal="right" vertical="center"/>
    </xf>
    <xf numFmtId="4" fontId="35" fillId="43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top" indent="1"/>
    </xf>
    <xf numFmtId="4" fontId="35" fillId="47" borderId="93" applyNumberFormat="0" applyProtection="0">
      <alignment horizontal="left" vertical="center" indent="1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7" fillId="22" borderId="91" applyNumberFormat="0" applyFont="0" applyAlignment="0" applyProtection="0"/>
    <xf numFmtId="0" fontId="99" fillId="19" borderId="96" applyNumberFormat="0" applyAlignment="0" applyProtection="0"/>
    <xf numFmtId="0" fontId="72" fillId="26" borderId="96" applyNumberFormat="0" applyAlignment="0" applyProtection="0">
      <alignment vertical="center"/>
    </xf>
    <xf numFmtId="0" fontId="80" fillId="22" borderId="91" applyNumberFormat="0" applyFont="0" applyAlignment="0" applyProtection="0"/>
    <xf numFmtId="4" fontId="113" fillId="27" borderId="93" applyNumberFormat="0" applyProtection="0">
      <alignment vertical="center"/>
    </xf>
    <xf numFmtId="0" fontId="80" fillId="42" borderId="93" applyNumberFormat="0" applyProtection="0">
      <alignment horizontal="left" vertical="center" indent="1"/>
    </xf>
    <xf numFmtId="0" fontId="122" fillId="0" borderId="94" applyNumberFormat="0" applyFill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4" fontId="35" fillId="39" borderId="93" applyNumberFormat="0" applyProtection="0">
      <alignment vertical="center"/>
    </xf>
    <xf numFmtId="0" fontId="100" fillId="19" borderId="96" applyNumberFormat="0" applyAlignment="0" applyProtection="0">
      <alignment vertical="center"/>
    </xf>
    <xf numFmtId="0" fontId="108" fillId="26" borderId="92" applyNumberFormat="0" applyAlignment="0" applyProtection="0"/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07" fillId="22" borderId="91" applyNumberFormat="0" applyFont="0" applyAlignment="0" applyProtection="0"/>
    <xf numFmtId="0" fontId="72" fillId="26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4" fontId="35" fillId="43" borderId="93" applyNumberFormat="0" applyProtection="0">
      <alignment horizontal="right" vertical="center"/>
    </xf>
    <xf numFmtId="0" fontId="80" fillId="42" borderId="93" applyNumberFormat="0" applyProtection="0">
      <alignment horizontal="left" vertical="top" indent="1"/>
    </xf>
    <xf numFmtId="4" fontId="35" fillId="39" borderId="93" applyNumberFormat="0" applyProtection="0">
      <alignment horizontal="left" vertical="center" indent="1"/>
    </xf>
    <xf numFmtId="4" fontId="118" fillId="45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18" fillId="22" borderId="91" applyNumberFormat="0" applyFont="0" applyAlignment="0" applyProtection="0">
      <alignment vertical="center"/>
    </xf>
    <xf numFmtId="4" fontId="116" fillId="45" borderId="93" applyNumberFormat="0" applyProtection="0">
      <alignment horizontal="right" vertical="center"/>
    </xf>
    <xf numFmtId="0" fontId="6" fillId="22" borderId="91" applyNumberFormat="0" applyFont="0" applyAlignment="0" applyProtection="0">
      <alignment vertical="center"/>
    </xf>
    <xf numFmtId="4" fontId="35" fillId="39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71" fillId="26" borderId="96" applyNumberFormat="0" applyAlignment="0" applyProtection="0"/>
    <xf numFmtId="0" fontId="122" fillId="0" borderId="94" applyNumberFormat="0" applyFill="0" applyAlignment="0" applyProtection="0">
      <alignment vertical="center"/>
    </xf>
    <xf numFmtId="0" fontId="99" fillId="19" borderId="96" applyNumberFormat="0" applyAlignment="0" applyProtection="0"/>
    <xf numFmtId="0" fontId="6" fillId="22" borderId="91" applyNumberFormat="0" applyFon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4" fontId="35" fillId="35" borderId="93" applyNumberFormat="0" applyProtection="0">
      <alignment horizontal="right" vertical="center"/>
    </xf>
    <xf numFmtId="4" fontId="114" fillId="41" borderId="93" applyNumberFormat="0" applyProtection="0">
      <alignment vertical="center"/>
    </xf>
    <xf numFmtId="0" fontId="113" fillId="0" borderId="94" applyNumberFormat="0" applyFill="0" applyAlignment="0" applyProtection="0"/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4" fontId="35" fillId="21" borderId="93" applyNumberFormat="0" applyProtection="0">
      <alignment horizontal="right" vertical="center"/>
    </xf>
    <xf numFmtId="0" fontId="6" fillId="22" borderId="91" applyNumberFormat="0" applyFon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99" fillId="19" borderId="96" applyNumberFormat="0" applyAlignment="0" applyProtection="0"/>
    <xf numFmtId="0" fontId="80" fillId="48" borderId="93" applyNumberFormat="0" applyProtection="0">
      <alignment horizontal="left" vertical="center" indent="1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4" fontId="35" fillId="24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07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4" fontId="114" fillId="41" borderId="93" applyNumberFormat="0" applyProtection="0">
      <alignment vertical="center"/>
    </xf>
    <xf numFmtId="0" fontId="80" fillId="42" borderId="93" applyNumberFormat="0" applyProtection="0">
      <alignment horizontal="left" vertical="top" indent="1"/>
    </xf>
    <xf numFmtId="4" fontId="116" fillId="45" borderId="93" applyNumberFormat="0" applyProtection="0">
      <alignment horizontal="right" vertical="center"/>
    </xf>
    <xf numFmtId="4" fontId="116" fillId="39" borderId="93" applyNumberFormat="0" applyProtection="0">
      <alignment vertical="center"/>
    </xf>
    <xf numFmtId="0" fontId="80" fillId="48" borderId="93" applyNumberFormat="0" applyProtection="0">
      <alignment horizontal="left" vertical="top" indent="1"/>
    </xf>
    <xf numFmtId="0" fontId="113" fillId="41" borderId="93" applyNumberFormat="0" applyProtection="0">
      <alignment horizontal="left" vertical="top" indent="1"/>
    </xf>
    <xf numFmtId="0" fontId="109" fillId="26" borderId="92" applyNumberFormat="0" applyAlignment="0" applyProtection="0">
      <alignment vertical="center"/>
    </xf>
    <xf numFmtId="0" fontId="35" fillId="39" borderId="93" applyNumberFormat="0" applyProtection="0">
      <alignment horizontal="left" vertical="top" indent="1"/>
    </xf>
    <xf numFmtId="0" fontId="80" fillId="49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80" fillId="22" borderId="91" applyNumberFormat="0" applyFont="0" applyAlignment="0" applyProtection="0"/>
    <xf numFmtId="0" fontId="176" fillId="19" borderId="96" applyNumberForma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4" fontId="35" fillId="3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0" fontId="113" fillId="41" borderId="93" applyNumberFormat="0" applyProtection="0">
      <alignment horizontal="left" vertical="top" indent="1"/>
    </xf>
    <xf numFmtId="4" fontId="113" fillId="41" borderId="93" applyNumberFormat="0" applyProtection="0">
      <alignment horizontal="left" vertical="center" indent="1"/>
    </xf>
    <xf numFmtId="0" fontId="108" fillId="26" borderId="92" applyNumberFormat="0" applyAlignment="0" applyProtection="0"/>
    <xf numFmtId="0" fontId="6" fillId="22" borderId="91" applyNumberFormat="0" applyFont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80" fillId="46" borderId="93" applyNumberFormat="0" applyProtection="0">
      <alignment horizontal="left" vertical="top" indent="1"/>
    </xf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0" fontId="91" fillId="0" borderId="80">
      <alignment horizontal="left" vertical="center"/>
    </xf>
    <xf numFmtId="0" fontId="99" fillId="19" borderId="96" applyNumberFormat="0" applyAlignment="0" applyProtection="0"/>
    <xf numFmtId="10" fontId="88" fillId="39" borderId="2" applyNumberFormat="0" applyBorder="0" applyAlignment="0" applyProtection="0"/>
    <xf numFmtId="0" fontId="18" fillId="0" borderId="79" applyNumberFormat="0" applyFont="0" applyBorder="0" applyAlignment="0">
      <alignment horizontal="center" vertical="center"/>
    </xf>
    <xf numFmtId="0" fontId="204" fillId="0" borderId="80">
      <alignment horizontal="left" vertical="center"/>
    </xf>
    <xf numFmtId="0" fontId="107" fillId="22" borderId="91" applyNumberFormat="0" applyFont="0" applyAlignment="0" applyProtection="0"/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0" fontId="71" fillId="26" borderId="96" applyNumberFormat="0" applyAlignment="0" applyProtection="0"/>
    <xf numFmtId="0" fontId="72" fillId="26" borderId="96" applyNumberFormat="0" applyAlignment="0" applyProtection="0">
      <alignment vertical="center"/>
    </xf>
    <xf numFmtId="0" fontId="91" fillId="0" borderId="80">
      <alignment horizontal="left" vertical="center"/>
    </xf>
    <xf numFmtId="0" fontId="99" fillId="19" borderId="96" applyNumberFormat="0" applyAlignment="0" applyProtection="0"/>
    <xf numFmtId="10" fontId="88" fillId="39" borderId="2" applyNumberFormat="0" applyBorder="0" applyAlignment="0" applyProtection="0"/>
    <xf numFmtId="0" fontId="100" fillId="19" borderId="96" applyNumberFormat="0" applyAlignment="0" applyProtection="0">
      <alignment vertical="center"/>
    </xf>
    <xf numFmtId="0" fontId="80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8" fillId="26" borderId="92" applyNumberFormat="0" applyAlignment="0" applyProtection="0"/>
    <xf numFmtId="0" fontId="109" fillId="26" borderId="92" applyNumberFormat="0" applyAlignment="0" applyProtection="0">
      <alignment vertical="center"/>
    </xf>
    <xf numFmtId="4" fontId="113" fillId="27" borderId="93" applyNumberFormat="0" applyProtection="0">
      <alignment vertical="center"/>
    </xf>
    <xf numFmtId="4" fontId="114" fillId="41" borderId="93" applyNumberFormat="0" applyProtection="0">
      <alignment vertical="center"/>
    </xf>
    <xf numFmtId="4" fontId="113" fillId="41" borderId="93" applyNumberFormat="0" applyProtection="0">
      <alignment horizontal="left" vertical="center" indent="1"/>
    </xf>
    <xf numFmtId="0" fontId="113" fillId="41" borderId="93" applyNumberFormat="0" applyProtection="0">
      <alignment horizontal="left" vertical="top" indent="1"/>
    </xf>
    <xf numFmtId="4" fontId="35" fillId="16" borderId="93" applyNumberFormat="0" applyProtection="0">
      <alignment horizontal="right" vertical="center"/>
    </xf>
    <xf numFmtId="4" fontId="35" fillId="2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35" fillId="34" borderId="93" applyNumberFormat="0" applyProtection="0">
      <alignment horizontal="right" vertical="center"/>
    </xf>
    <xf numFmtId="4" fontId="35" fillId="43" borderId="93" applyNumberFormat="0" applyProtection="0">
      <alignment horizontal="right" vertical="center"/>
    </xf>
    <xf numFmtId="4" fontId="35" fillId="24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80" fillId="46" borderId="93" applyNumberFormat="0" applyProtection="0">
      <alignment horizontal="left" vertical="top" indent="1"/>
    </xf>
    <xf numFmtId="0" fontId="80" fillId="42" borderId="93" applyNumberFormat="0" applyProtection="0">
      <alignment horizontal="left" vertical="center" indent="1"/>
    </xf>
    <xf numFmtId="0" fontId="80" fillId="42" borderId="93" applyNumberFormat="0" applyProtection="0">
      <alignment horizontal="left" vertical="top" indent="1"/>
    </xf>
    <xf numFmtId="0" fontId="80" fillId="48" borderId="93" applyNumberFormat="0" applyProtection="0">
      <alignment horizontal="left" vertical="center" indent="1"/>
    </xf>
    <xf numFmtId="0" fontId="80" fillId="48" borderId="93" applyNumberFormat="0" applyProtection="0">
      <alignment horizontal="left" vertical="top" indent="1"/>
    </xf>
    <xf numFmtId="0" fontId="80" fillId="49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top" indent="1"/>
    </xf>
    <xf numFmtId="4" fontId="35" fillId="39" borderId="93" applyNumberFormat="0" applyProtection="0">
      <alignment vertical="center"/>
    </xf>
    <xf numFmtId="4" fontId="116" fillId="39" borderId="93" applyNumberFormat="0" applyProtection="0">
      <alignment vertical="center"/>
    </xf>
    <xf numFmtId="4" fontId="35" fillId="39" borderId="93" applyNumberFormat="0" applyProtection="0">
      <alignment horizontal="left" vertical="center" indent="1"/>
    </xf>
    <xf numFmtId="0" fontId="35" fillId="39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4" fontId="116" fillId="45" borderId="93" applyNumberFormat="0" applyProtection="0">
      <alignment horizontal="right" vertical="center"/>
    </xf>
    <xf numFmtId="4" fontId="35" fillId="47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8" fillId="0" borderId="79" applyNumberFormat="0" applyFont="0" applyBorder="0" applyAlignment="0">
      <alignment horizontal="center"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204" fillId="0" borderId="80">
      <alignment horizontal="left"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07" fillId="22" borderId="91" applyNumberFormat="0" applyFon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18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1" fillId="26" borderId="96" applyNumberFormat="0" applyAlignment="0" applyProtection="0"/>
    <xf numFmtId="0" fontId="72" fillId="26" borderId="96" applyNumberFormat="0" applyAlignment="0" applyProtection="0">
      <alignment vertical="center"/>
    </xf>
    <xf numFmtId="0" fontId="99" fillId="19" borderId="96" applyNumberFormat="0" applyAlignment="0" applyProtection="0"/>
    <xf numFmtId="0" fontId="100" fillId="19" borderId="96" applyNumberFormat="0" applyAlignment="0" applyProtection="0">
      <alignment vertical="center"/>
    </xf>
    <xf numFmtId="0" fontId="99" fillId="19" borderId="96" applyNumberFormat="0" applyAlignment="0" applyProtection="0"/>
    <xf numFmtId="0" fontId="99" fillId="19" borderId="96" applyNumberFormat="0" applyAlignment="0" applyProtection="0"/>
    <xf numFmtId="0" fontId="80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8" fillId="26" borderId="92" applyNumberFormat="0" applyAlignment="0" applyProtection="0"/>
    <xf numFmtId="0" fontId="109" fillId="26" borderId="92" applyNumberFormat="0" applyAlignment="0" applyProtection="0">
      <alignment vertical="center"/>
    </xf>
    <xf numFmtId="4" fontId="113" fillId="27" borderId="93" applyNumberFormat="0" applyProtection="0">
      <alignment vertical="center"/>
    </xf>
    <xf numFmtId="4" fontId="114" fillId="41" borderId="93" applyNumberFormat="0" applyProtection="0">
      <alignment vertical="center"/>
    </xf>
    <xf numFmtId="4" fontId="113" fillId="41" borderId="93" applyNumberFormat="0" applyProtection="0">
      <alignment horizontal="left" vertical="center" indent="1"/>
    </xf>
    <xf numFmtId="0" fontId="113" fillId="41" borderId="93" applyNumberFormat="0" applyProtection="0">
      <alignment horizontal="left" vertical="top" indent="1"/>
    </xf>
    <xf numFmtId="4" fontId="35" fillId="16" borderId="93" applyNumberFormat="0" applyProtection="0">
      <alignment horizontal="right" vertical="center"/>
    </xf>
    <xf numFmtId="4" fontId="35" fillId="2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35" fillId="34" borderId="93" applyNumberFormat="0" applyProtection="0">
      <alignment horizontal="right" vertical="center"/>
    </xf>
    <xf numFmtId="4" fontId="35" fillId="43" borderId="93" applyNumberFormat="0" applyProtection="0">
      <alignment horizontal="right" vertical="center"/>
    </xf>
    <xf numFmtId="4" fontId="35" fillId="24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80" fillId="46" borderId="93" applyNumberFormat="0" applyProtection="0">
      <alignment horizontal="left" vertical="top" indent="1"/>
    </xf>
    <xf numFmtId="0" fontId="80" fillId="42" borderId="93" applyNumberFormat="0" applyProtection="0">
      <alignment horizontal="left" vertical="center" indent="1"/>
    </xf>
    <xf numFmtId="0" fontId="80" fillId="42" borderId="93" applyNumberFormat="0" applyProtection="0">
      <alignment horizontal="left" vertical="top" indent="1"/>
    </xf>
    <xf numFmtId="0" fontId="80" fillId="48" borderId="93" applyNumberFormat="0" applyProtection="0">
      <alignment horizontal="left" vertical="center" indent="1"/>
    </xf>
    <xf numFmtId="0" fontId="80" fillId="48" borderId="93" applyNumberFormat="0" applyProtection="0">
      <alignment horizontal="left" vertical="top" indent="1"/>
    </xf>
    <xf numFmtId="0" fontId="80" fillId="49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top" indent="1"/>
    </xf>
    <xf numFmtId="4" fontId="35" fillId="39" borderId="93" applyNumberFormat="0" applyProtection="0">
      <alignment vertical="center"/>
    </xf>
    <xf numFmtId="4" fontId="116" fillId="39" borderId="93" applyNumberFormat="0" applyProtection="0">
      <alignment vertical="center"/>
    </xf>
    <xf numFmtId="4" fontId="35" fillId="39" borderId="93" applyNumberFormat="0" applyProtection="0">
      <alignment horizontal="left" vertical="center" indent="1"/>
    </xf>
    <xf numFmtId="0" fontId="35" fillId="39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4" fontId="116" fillId="45" borderId="93" applyNumberFormat="0" applyProtection="0">
      <alignment horizontal="right" vertical="center"/>
    </xf>
    <xf numFmtId="4" fontId="35" fillId="47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99" fillId="19" borderId="96" applyNumberFormat="0" applyAlignment="0" applyProtection="0"/>
    <xf numFmtId="0" fontId="99" fillId="19" borderId="96" applyNumberFormat="0" applyAlignment="0" applyProtection="0"/>
    <xf numFmtId="0" fontId="6" fillId="22" borderId="91" applyNumberFormat="0" applyFont="0" applyAlignment="0" applyProtection="0">
      <alignment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07" fillId="22" borderId="91" applyNumberFormat="0" applyFont="0" applyAlignment="0" applyProtection="0"/>
    <xf numFmtId="0" fontId="107" fillId="22" borderId="91" applyNumberFormat="0" applyFont="0" applyAlignment="0" applyProtection="0"/>
    <xf numFmtId="0" fontId="108" fillId="26" borderId="92" applyNumberFormat="0" applyAlignment="0" applyProtection="0"/>
    <xf numFmtId="0" fontId="109" fillId="26" borderId="92" applyNumberFormat="0" applyAlignment="0" applyProtection="0">
      <alignment vertical="center"/>
    </xf>
    <xf numFmtId="4" fontId="113" fillId="27" borderId="93" applyNumberFormat="0" applyProtection="0">
      <alignment vertical="center"/>
    </xf>
    <xf numFmtId="4" fontId="114" fillId="41" borderId="93" applyNumberFormat="0" applyProtection="0">
      <alignment vertical="center"/>
    </xf>
    <xf numFmtId="0" fontId="99" fillId="19" borderId="96" applyNumberFormat="0" applyAlignment="0" applyProtection="0"/>
    <xf numFmtId="0" fontId="113" fillId="41" borderId="93" applyNumberFormat="0" applyProtection="0">
      <alignment horizontal="left" vertical="top" indent="1"/>
    </xf>
    <xf numFmtId="4" fontId="35" fillId="16" borderId="93" applyNumberFormat="0" applyProtection="0">
      <alignment horizontal="right" vertical="center"/>
    </xf>
    <xf numFmtId="4" fontId="35" fillId="2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35" fillId="34" borderId="93" applyNumberFormat="0" applyProtection="0">
      <alignment horizontal="right" vertical="center"/>
    </xf>
    <xf numFmtId="4" fontId="113" fillId="41" borderId="93" applyNumberFormat="0" applyProtection="0">
      <alignment horizontal="left" vertical="center" indent="1"/>
    </xf>
    <xf numFmtId="4" fontId="35" fillId="24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80" fillId="46" borderId="93" applyNumberFormat="0" applyProtection="0">
      <alignment horizontal="left" vertical="top" indent="1"/>
    </xf>
    <xf numFmtId="0" fontId="80" fillId="42" borderId="93" applyNumberFormat="0" applyProtection="0">
      <alignment horizontal="left" vertical="center" indent="1"/>
    </xf>
    <xf numFmtId="0" fontId="80" fillId="42" borderId="93" applyNumberFormat="0" applyProtection="0">
      <alignment horizontal="left" vertical="top" indent="1"/>
    </xf>
    <xf numFmtId="0" fontId="80" fillId="48" borderId="93" applyNumberFormat="0" applyProtection="0">
      <alignment horizontal="left" vertical="center" indent="1"/>
    </xf>
    <xf numFmtId="4" fontId="35" fillId="43" borderId="93" applyNumberFormat="0" applyProtection="0">
      <alignment horizontal="right" vertical="center"/>
    </xf>
    <xf numFmtId="0" fontId="80" fillId="49" borderId="93" applyNumberFormat="0" applyProtection="0">
      <alignment horizontal="left" vertical="center" indent="1"/>
    </xf>
    <xf numFmtId="4" fontId="35" fillId="39" borderId="93" applyNumberFormat="0" applyProtection="0">
      <alignment horizontal="left" vertical="center" indent="1"/>
    </xf>
    <xf numFmtId="0" fontId="35" fillId="39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4" fontId="116" fillId="45" borderId="93" applyNumberFormat="0" applyProtection="0">
      <alignment horizontal="right" vertical="center"/>
    </xf>
    <xf numFmtId="0" fontId="80" fillId="48" borderId="93" applyNumberFormat="0" applyProtection="0">
      <alignment horizontal="left" vertical="top" indent="1"/>
    </xf>
    <xf numFmtId="4" fontId="35" fillId="47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07" fillId="22" borderId="91" applyNumberFormat="0" applyFont="0" applyAlignment="0" applyProtection="0"/>
    <xf numFmtId="0" fontId="18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71" fillId="26" borderId="96" applyNumberFormat="0" applyAlignment="0" applyProtection="0"/>
    <xf numFmtId="0" fontId="72" fillId="26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80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7" fillId="22" borderId="91" applyNumberFormat="0" applyFont="0" applyAlignment="0" applyProtection="0"/>
    <xf numFmtId="0" fontId="71" fillId="26" borderId="96" applyNumberFormat="0" applyAlignment="0" applyProtection="0"/>
    <xf numFmtId="0" fontId="72" fillId="26" borderId="96" applyNumberFormat="0" applyAlignment="0" applyProtection="0">
      <alignment vertical="center"/>
    </xf>
    <xf numFmtId="0" fontId="99" fillId="19" borderId="96" applyNumberFormat="0" applyAlignment="0" applyProtection="0"/>
    <xf numFmtId="0" fontId="100" fillId="19" borderId="96" applyNumberFormat="0" applyAlignment="0" applyProtection="0">
      <alignment vertical="center"/>
    </xf>
    <xf numFmtId="0" fontId="80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8" fillId="26" borderId="92" applyNumberFormat="0" applyAlignment="0" applyProtection="0"/>
    <xf numFmtId="0" fontId="109" fillId="26" borderId="92" applyNumberFormat="0" applyAlignment="0" applyProtection="0">
      <alignment vertical="center"/>
    </xf>
    <xf numFmtId="4" fontId="113" fillId="27" borderId="93" applyNumberFormat="0" applyProtection="0">
      <alignment vertical="center"/>
    </xf>
    <xf numFmtId="4" fontId="114" fillId="41" borderId="93" applyNumberFormat="0" applyProtection="0">
      <alignment vertical="center"/>
    </xf>
    <xf numFmtId="4" fontId="113" fillId="41" borderId="93" applyNumberFormat="0" applyProtection="0">
      <alignment horizontal="left" vertical="center" indent="1"/>
    </xf>
    <xf numFmtId="0" fontId="113" fillId="41" borderId="93" applyNumberFormat="0" applyProtection="0">
      <alignment horizontal="left" vertical="top" indent="1"/>
    </xf>
    <xf numFmtId="4" fontId="35" fillId="16" borderId="93" applyNumberFormat="0" applyProtection="0">
      <alignment horizontal="right" vertical="center"/>
    </xf>
    <xf numFmtId="4" fontId="35" fillId="2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35" fillId="34" borderId="93" applyNumberFormat="0" applyProtection="0">
      <alignment horizontal="right" vertical="center"/>
    </xf>
    <xf numFmtId="4" fontId="35" fillId="43" borderId="93" applyNumberFormat="0" applyProtection="0">
      <alignment horizontal="right" vertical="center"/>
    </xf>
    <xf numFmtId="4" fontId="35" fillId="24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80" fillId="46" borderId="93" applyNumberFormat="0" applyProtection="0">
      <alignment horizontal="left" vertical="top" indent="1"/>
    </xf>
    <xf numFmtId="0" fontId="80" fillId="42" borderId="93" applyNumberFormat="0" applyProtection="0">
      <alignment horizontal="left" vertical="center" indent="1"/>
    </xf>
    <xf numFmtId="0" fontId="80" fillId="42" borderId="93" applyNumberFormat="0" applyProtection="0">
      <alignment horizontal="left" vertical="top" indent="1"/>
    </xf>
    <xf numFmtId="0" fontId="80" fillId="48" borderId="93" applyNumberFormat="0" applyProtection="0">
      <alignment horizontal="left" vertical="center" indent="1"/>
    </xf>
    <xf numFmtId="0" fontId="80" fillId="48" borderId="93" applyNumberFormat="0" applyProtection="0">
      <alignment horizontal="left" vertical="top" indent="1"/>
    </xf>
    <xf numFmtId="0" fontId="80" fillId="49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top" indent="1"/>
    </xf>
    <xf numFmtId="4" fontId="35" fillId="39" borderId="93" applyNumberFormat="0" applyProtection="0">
      <alignment vertical="center"/>
    </xf>
    <xf numFmtId="4" fontId="116" fillId="39" borderId="93" applyNumberFormat="0" applyProtection="0">
      <alignment vertical="center"/>
    </xf>
    <xf numFmtId="4" fontId="35" fillId="39" borderId="93" applyNumberFormat="0" applyProtection="0">
      <alignment horizontal="left" vertical="center" indent="1"/>
    </xf>
    <xf numFmtId="0" fontId="35" fillId="39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4" fontId="116" fillId="45" borderId="93" applyNumberFormat="0" applyProtection="0">
      <alignment horizontal="right" vertical="center"/>
    </xf>
    <xf numFmtId="4" fontId="35" fillId="47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07" fillId="22" borderId="91" applyNumberFormat="0" applyFont="0" applyAlignment="0" applyProtection="0"/>
    <xf numFmtId="0" fontId="80" fillId="49" borderId="93" applyNumberFormat="0" applyProtection="0">
      <alignment horizontal="left" vertical="top" indent="1"/>
    </xf>
    <xf numFmtId="4" fontId="116" fillId="39" borderId="93" applyNumberFormat="0" applyProtection="0">
      <alignment vertical="center"/>
    </xf>
    <xf numFmtId="4" fontId="35" fillId="39" borderId="93" applyNumberForma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07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7" fillId="22" borderId="91" applyNumberFormat="0" applyFont="0" applyAlignment="0" applyProtection="0"/>
    <xf numFmtId="0" fontId="71" fillId="26" borderId="96" applyNumberFormat="0" applyAlignment="0" applyProtection="0"/>
    <xf numFmtId="0" fontId="72" fillId="26" borderId="96" applyNumberFormat="0" applyAlignment="0" applyProtection="0">
      <alignment vertical="center"/>
    </xf>
    <xf numFmtId="0" fontId="99" fillId="19" borderId="96" applyNumberFormat="0" applyAlignment="0" applyProtection="0"/>
    <xf numFmtId="0" fontId="100" fillId="19" borderId="96" applyNumberFormat="0" applyAlignment="0" applyProtection="0">
      <alignment vertical="center"/>
    </xf>
    <xf numFmtId="0" fontId="80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08" fillId="26" borderId="92" applyNumberFormat="0" applyAlignment="0" applyProtection="0"/>
    <xf numFmtId="0" fontId="109" fillId="26" borderId="92" applyNumberFormat="0" applyAlignment="0" applyProtection="0">
      <alignment vertical="center"/>
    </xf>
    <xf numFmtId="4" fontId="113" fillId="27" borderId="93" applyNumberFormat="0" applyProtection="0">
      <alignment vertical="center"/>
    </xf>
    <xf numFmtId="4" fontId="114" fillId="41" borderId="93" applyNumberFormat="0" applyProtection="0">
      <alignment vertical="center"/>
    </xf>
    <xf numFmtId="4" fontId="113" fillId="41" borderId="93" applyNumberFormat="0" applyProtection="0">
      <alignment horizontal="left" vertical="center" indent="1"/>
    </xf>
    <xf numFmtId="0" fontId="113" fillId="41" borderId="93" applyNumberFormat="0" applyProtection="0">
      <alignment horizontal="left" vertical="top" indent="1"/>
    </xf>
    <xf numFmtId="4" fontId="35" fillId="16" borderId="93" applyNumberFormat="0" applyProtection="0">
      <alignment horizontal="right" vertical="center"/>
    </xf>
    <xf numFmtId="4" fontId="35" fillId="2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35" fillId="34" borderId="93" applyNumberFormat="0" applyProtection="0">
      <alignment horizontal="right" vertical="center"/>
    </xf>
    <xf numFmtId="4" fontId="35" fillId="43" borderId="93" applyNumberFormat="0" applyProtection="0">
      <alignment horizontal="right" vertical="center"/>
    </xf>
    <xf numFmtId="4" fontId="35" fillId="24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80" fillId="46" borderId="93" applyNumberFormat="0" applyProtection="0">
      <alignment horizontal="left" vertical="top" indent="1"/>
    </xf>
    <xf numFmtId="0" fontId="80" fillId="42" borderId="93" applyNumberFormat="0" applyProtection="0">
      <alignment horizontal="left" vertical="center" indent="1"/>
    </xf>
    <xf numFmtId="0" fontId="80" fillId="42" borderId="93" applyNumberFormat="0" applyProtection="0">
      <alignment horizontal="left" vertical="top" indent="1"/>
    </xf>
    <xf numFmtId="0" fontId="80" fillId="48" borderId="93" applyNumberFormat="0" applyProtection="0">
      <alignment horizontal="left" vertical="center" indent="1"/>
    </xf>
    <xf numFmtId="0" fontId="80" fillId="48" borderId="93" applyNumberFormat="0" applyProtection="0">
      <alignment horizontal="left" vertical="top" indent="1"/>
    </xf>
    <xf numFmtId="0" fontId="80" fillId="49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top" indent="1"/>
    </xf>
    <xf numFmtId="4" fontId="35" fillId="39" borderId="93" applyNumberFormat="0" applyProtection="0">
      <alignment vertical="center"/>
    </xf>
    <xf numFmtId="4" fontId="116" fillId="39" borderId="93" applyNumberFormat="0" applyProtection="0">
      <alignment vertical="center"/>
    </xf>
    <xf numFmtId="4" fontId="35" fillId="39" borderId="93" applyNumberFormat="0" applyProtection="0">
      <alignment horizontal="left" vertical="center" indent="1"/>
    </xf>
    <xf numFmtId="0" fontId="35" fillId="39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4" fontId="116" fillId="45" borderId="93" applyNumberFormat="0" applyProtection="0">
      <alignment horizontal="right" vertical="center"/>
    </xf>
    <xf numFmtId="4" fontId="35" fillId="47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07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4" fontId="35" fillId="47" borderId="93" applyNumberFormat="0" applyProtection="0">
      <alignment horizontal="right" vertical="center"/>
    </xf>
    <xf numFmtId="0" fontId="80" fillId="48" borderId="93" applyNumberFormat="0" applyProtection="0">
      <alignment horizontal="left" vertical="top" indent="1"/>
    </xf>
    <xf numFmtId="4" fontId="35" fillId="45" borderId="93" applyNumberFormat="0" applyProtection="0">
      <alignment horizontal="right" vertical="center"/>
    </xf>
    <xf numFmtId="0" fontId="99" fillId="19" borderId="96" applyNumberFormat="0" applyAlignment="0" applyProtection="0"/>
    <xf numFmtId="0" fontId="122" fillId="0" borderId="94" applyNumberFormat="0" applyFill="0" applyAlignment="0" applyProtection="0">
      <alignment vertical="center"/>
    </xf>
    <xf numFmtId="4" fontId="35" fillId="16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0" fontId="100" fillId="19" borderId="96" applyNumberFormat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99" fillId="19" borderId="96" applyNumberFormat="0" applyAlignment="0" applyProtection="0"/>
    <xf numFmtId="0" fontId="80" fillId="49" borderId="93" applyNumberFormat="0" applyProtection="0">
      <alignment horizontal="left" vertical="center" indent="1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4" fontId="35" fillId="39" borderId="93" applyNumberForma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99" fillId="19" borderId="96" applyNumberFormat="0" applyAlignment="0" applyProtection="0"/>
    <xf numFmtId="4" fontId="35" fillId="24" borderId="93" applyNumberFormat="0" applyProtection="0">
      <alignment horizontal="right" vertical="center"/>
    </xf>
    <xf numFmtId="0" fontId="6" fillId="22" borderId="91" applyNumberFormat="0" applyFont="0" applyAlignment="0" applyProtection="0">
      <alignment vertical="center"/>
    </xf>
    <xf numFmtId="4" fontId="35" fillId="45" borderId="93" applyNumberFormat="0" applyProtection="0">
      <alignment horizontal="right" vertical="center"/>
    </xf>
    <xf numFmtId="0" fontId="80" fillId="48" borderId="93" applyNumberFormat="0" applyProtection="0">
      <alignment horizontal="left" vertical="center" indent="1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4" fontId="35" fillId="16" borderId="93" applyNumberFormat="0" applyProtection="0">
      <alignment horizontal="right"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99" fillId="19" borderId="96" applyNumberFormat="0" applyAlignment="0" applyProtection="0"/>
    <xf numFmtId="0" fontId="109" fillId="26" borderId="92" applyNumberFormat="0" applyAlignment="0" applyProtection="0">
      <alignment vertical="center"/>
    </xf>
    <xf numFmtId="0" fontId="99" fillId="19" borderId="96" applyNumberFormat="0" applyAlignment="0" applyProtection="0"/>
    <xf numFmtId="0" fontId="99" fillId="19" borderId="96" applyNumberFormat="0" applyAlignment="0" applyProtection="0"/>
    <xf numFmtId="4" fontId="113" fillId="27" borderId="93" applyNumberFormat="0" applyProtection="0">
      <alignment vertical="center"/>
    </xf>
    <xf numFmtId="0" fontId="100" fillId="19" borderId="96" applyNumberFormat="0" applyAlignment="0" applyProtection="0">
      <alignment vertical="center"/>
    </xf>
    <xf numFmtId="4" fontId="35" fillId="25" borderId="93" applyNumberFormat="0" applyProtection="0">
      <alignment horizontal="right"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4" fontId="35" fillId="47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top" indent="1"/>
    </xf>
    <xf numFmtId="0" fontId="35" fillId="39" borderId="93" applyNumberFormat="0" applyProtection="0">
      <alignment horizontal="left" vertical="top" indent="1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206" fillId="0" borderId="94" applyNumberFormat="0" applyFill="0" applyAlignment="0" applyProtection="0">
      <alignment vertical="center"/>
    </xf>
    <xf numFmtId="0" fontId="107" fillId="22" borderId="91" applyNumberFormat="0" applyFont="0" applyAlignment="0" applyProtection="0"/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71" fillId="26" borderId="96" applyNumberFormat="0" applyAlignment="0" applyProtection="0"/>
    <xf numFmtId="4" fontId="35" fillId="34" borderId="93" applyNumberFormat="0" applyProtection="0">
      <alignment horizontal="right" vertical="center"/>
    </xf>
    <xf numFmtId="0" fontId="80" fillId="42" borderId="93" applyNumberFormat="0" applyProtection="0">
      <alignment horizontal="left" vertical="center" indent="1"/>
    </xf>
    <xf numFmtId="4" fontId="116" fillId="39" borderId="93" applyNumberFormat="0" applyProtection="0">
      <alignment vertical="center"/>
    </xf>
    <xf numFmtId="0" fontId="35" fillId="42" borderId="93" applyNumberFormat="0" applyProtection="0">
      <alignment horizontal="left" vertical="top" indent="1"/>
    </xf>
    <xf numFmtId="0" fontId="18" fillId="22" borderId="91" applyNumberFormat="0" applyFont="0" applyAlignment="0" applyProtection="0">
      <alignment vertical="center"/>
    </xf>
    <xf numFmtId="4" fontId="35" fillId="21" borderId="93" applyNumberFormat="0" applyProtection="0">
      <alignment horizontal="right" vertical="center"/>
    </xf>
    <xf numFmtId="4" fontId="35" fillId="25" borderId="93" applyNumberFormat="0" applyProtection="0">
      <alignment horizontal="right" vertical="center"/>
    </xf>
    <xf numFmtId="4" fontId="35" fillId="31" borderId="93" applyNumberFormat="0" applyProtection="0">
      <alignment horizontal="right" vertical="center"/>
    </xf>
    <xf numFmtId="4" fontId="35" fillId="35" borderId="93" applyNumberFormat="0" applyProtection="0">
      <alignment horizontal="right" vertical="center"/>
    </xf>
    <xf numFmtId="4" fontId="113" fillId="41" borderId="93" applyNumberFormat="0" applyProtection="0">
      <alignment horizontal="left" vertical="center" indent="1"/>
    </xf>
    <xf numFmtId="4" fontId="35" fillId="34" borderId="93" applyNumberFormat="0" applyProtection="0">
      <alignment horizontal="right" vertical="center"/>
    </xf>
    <xf numFmtId="4" fontId="35" fillId="43" borderId="93" applyNumberFormat="0" applyProtection="0">
      <alignment horizontal="right" vertical="center"/>
    </xf>
    <xf numFmtId="4" fontId="35" fillId="47" borderId="93" applyNumberFormat="0" applyProtection="0">
      <alignment horizontal="right" vertical="center"/>
    </xf>
    <xf numFmtId="0" fontId="80" fillId="46" borderId="93" applyNumberFormat="0" applyProtection="0">
      <alignment horizontal="left" vertical="top" indent="1"/>
    </xf>
    <xf numFmtId="4" fontId="35" fillId="47" borderId="93" applyNumberFormat="0" applyProtection="0">
      <alignment horizontal="left" vertical="center" indent="1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7" fillId="22" borderId="91" applyNumberFormat="0" applyFont="0" applyAlignment="0" applyProtection="0"/>
    <xf numFmtId="0" fontId="99" fillId="19" borderId="96" applyNumberFormat="0" applyAlignment="0" applyProtection="0"/>
    <xf numFmtId="0" fontId="72" fillId="26" borderId="96" applyNumberFormat="0" applyAlignment="0" applyProtection="0">
      <alignment vertical="center"/>
    </xf>
    <xf numFmtId="0" fontId="80" fillId="22" borderId="91" applyNumberFormat="0" applyFont="0" applyAlignment="0" applyProtection="0"/>
    <xf numFmtId="4" fontId="113" fillId="27" borderId="93" applyNumberFormat="0" applyProtection="0">
      <alignment vertical="center"/>
    </xf>
    <xf numFmtId="0" fontId="80" fillId="42" borderId="93" applyNumberFormat="0" applyProtection="0">
      <alignment horizontal="left" vertical="center" indent="1"/>
    </xf>
    <xf numFmtId="0" fontId="122" fillId="0" borderId="94" applyNumberFormat="0" applyFill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4" fontId="35" fillId="39" borderId="93" applyNumberFormat="0" applyProtection="0">
      <alignment vertical="center"/>
    </xf>
    <xf numFmtId="0" fontId="100" fillId="19" borderId="96" applyNumberFormat="0" applyAlignment="0" applyProtection="0">
      <alignment vertical="center"/>
    </xf>
    <xf numFmtId="0" fontId="108" fillId="26" borderId="92" applyNumberFormat="0" applyAlignment="0" applyProtection="0"/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55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76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0" fillId="27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206" fillId="0" borderId="94" applyNumberFormat="0" applyFill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213" fillId="26" borderId="92" applyNumberForma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42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07" fillId="22" borderId="91" applyNumberFormat="0" applyFont="0" applyAlignment="0" applyProtection="0"/>
    <xf numFmtId="0" fontId="72" fillId="26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4" fontId="35" fillId="43" borderId="93" applyNumberFormat="0" applyProtection="0">
      <alignment horizontal="right" vertical="center"/>
    </xf>
    <xf numFmtId="0" fontId="80" fillId="42" borderId="93" applyNumberFormat="0" applyProtection="0">
      <alignment horizontal="left" vertical="top" indent="1"/>
    </xf>
    <xf numFmtId="4" fontId="35" fillId="39" borderId="93" applyNumberFormat="0" applyProtection="0">
      <alignment horizontal="left" vertical="center" indent="1"/>
    </xf>
    <xf numFmtId="4" fontId="118" fillId="45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18" fillId="22" borderId="91" applyNumberFormat="0" applyFont="0" applyAlignment="0" applyProtection="0">
      <alignment vertical="center"/>
    </xf>
    <xf numFmtId="4" fontId="116" fillId="45" borderId="93" applyNumberFormat="0" applyProtection="0">
      <alignment horizontal="right" vertical="center"/>
    </xf>
    <xf numFmtId="0" fontId="6" fillId="22" borderId="91" applyNumberFormat="0" applyFont="0" applyAlignment="0" applyProtection="0">
      <alignment vertical="center"/>
    </xf>
    <xf numFmtId="4" fontId="35" fillId="39" borderId="93" applyNumberFormat="0" applyProtection="0">
      <alignment horizontal="left" vertical="center" indent="1"/>
    </xf>
    <xf numFmtId="0" fontId="80" fillId="49" borderId="93" applyNumberFormat="0" applyProtection="0">
      <alignment horizontal="left" vertical="center" indent="1"/>
    </xf>
    <xf numFmtId="0" fontId="35" fillId="42" borderId="93" applyNumberFormat="0" applyProtection="0">
      <alignment horizontal="left" vertical="top" indent="1"/>
    </xf>
    <xf numFmtId="0" fontId="113" fillId="0" borderId="94" applyNumberFormat="0" applyFill="0" applyAlignment="0" applyProtection="0"/>
    <xf numFmtId="0" fontId="122" fillId="0" borderId="94" applyNumberFormat="0" applyFill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7" fillId="19" borderId="96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71" fillId="26" borderId="96" applyNumberFormat="0" applyAlignment="0" applyProtection="0"/>
    <xf numFmtId="0" fontId="122" fillId="0" borderId="94" applyNumberFormat="0" applyFill="0" applyAlignment="0" applyProtection="0">
      <alignment vertical="center"/>
    </xf>
    <xf numFmtId="0" fontId="99" fillId="19" borderId="96" applyNumberFormat="0" applyAlignment="0" applyProtection="0"/>
    <xf numFmtId="0" fontId="6" fillId="22" borderId="91" applyNumberFormat="0" applyFon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51" fillId="20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109" fillId="26" borderId="92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65" fillId="20" borderId="92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64" fillId="0" borderId="94" applyNumberFormat="0" applyFill="0" applyAlignment="0" applyProtection="0">
      <alignment vertical="center"/>
    </xf>
    <xf numFmtId="0" fontId="166" fillId="26" borderId="92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4" fontId="35" fillId="35" borderId="93" applyNumberFormat="0" applyProtection="0">
      <alignment horizontal="right" vertical="center"/>
    </xf>
    <xf numFmtId="4" fontId="114" fillId="41" borderId="93" applyNumberFormat="0" applyProtection="0">
      <alignment vertical="center"/>
    </xf>
    <xf numFmtId="0" fontId="113" fillId="0" borderId="94" applyNumberFormat="0" applyFill="0" applyAlignment="0" applyProtection="0"/>
    <xf numFmtId="0" fontId="6" fillId="22" borderId="91" applyNumberFormat="0" applyFont="0" applyAlignment="0" applyProtection="0">
      <alignment vertical="center"/>
    </xf>
    <xf numFmtId="0" fontId="57" fillId="22" borderId="91" applyNumberFormat="0" applyFont="0" applyAlignment="0" applyProtection="0">
      <alignment vertical="center"/>
    </xf>
    <xf numFmtId="4" fontId="35" fillId="21" borderId="93" applyNumberFormat="0" applyProtection="0">
      <alignment horizontal="right" vertical="center"/>
    </xf>
    <xf numFmtId="0" fontId="6" fillId="22" borderId="91" applyNumberFormat="0" applyFont="0" applyAlignment="0" applyProtection="0">
      <alignment vertical="center"/>
    </xf>
    <xf numFmtId="0" fontId="152" fillId="26" borderId="96" applyNumberForma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22" fillId="0" borderId="94" applyNumberFormat="0" applyFill="0" applyAlignment="0" applyProtection="0">
      <alignment vertical="center"/>
    </xf>
    <xf numFmtId="0" fontId="163" fillId="0" borderId="95" applyNumberFormat="0" applyFill="0" applyAlignment="0" applyProtection="0">
      <alignment vertical="center"/>
    </xf>
    <xf numFmtId="0" fontId="99" fillId="19" borderId="96" applyNumberFormat="0" applyAlignment="0" applyProtection="0"/>
    <xf numFmtId="0" fontId="80" fillId="48" borderId="93" applyNumberFormat="0" applyProtection="0">
      <alignment horizontal="left" vertical="center" indent="1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4" fontId="35" fillId="24" borderId="93" applyNumberFormat="0" applyProtection="0">
      <alignment horizontal="right" vertical="center"/>
    </xf>
    <xf numFmtId="0" fontId="80" fillId="46" borderId="93" applyNumberFormat="0" applyProtection="0">
      <alignment horizontal="left" vertical="center" indent="1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72" fillId="26" borderId="96" applyNumberFormat="0" applyAlignment="0" applyProtection="0">
      <alignment vertical="center"/>
    </xf>
    <xf numFmtId="0" fontId="107" fillId="22" borderId="91" applyNumberFormat="0" applyFont="0" applyAlignment="0" applyProtection="0"/>
    <xf numFmtId="0" fontId="6" fillId="22" borderId="91" applyNumberFormat="0" applyFont="0" applyAlignment="0" applyProtection="0">
      <alignment vertical="center"/>
    </xf>
    <xf numFmtId="4" fontId="114" fillId="41" borderId="93" applyNumberFormat="0" applyProtection="0">
      <alignment vertical="center"/>
    </xf>
    <xf numFmtId="0" fontId="80" fillId="42" borderId="93" applyNumberFormat="0" applyProtection="0">
      <alignment horizontal="left" vertical="top" indent="1"/>
    </xf>
    <xf numFmtId="4" fontId="116" fillId="45" borderId="93" applyNumberFormat="0" applyProtection="0">
      <alignment horizontal="right" vertical="center"/>
    </xf>
    <xf numFmtId="4" fontId="116" fillId="39" borderId="93" applyNumberFormat="0" applyProtection="0">
      <alignment vertical="center"/>
    </xf>
    <xf numFmtId="0" fontId="80" fillId="48" borderId="93" applyNumberFormat="0" applyProtection="0">
      <alignment horizontal="left" vertical="top" indent="1"/>
    </xf>
    <xf numFmtId="0" fontId="113" fillId="41" borderId="93" applyNumberFormat="0" applyProtection="0">
      <alignment horizontal="left" vertical="top" indent="1"/>
    </xf>
    <xf numFmtId="0" fontId="109" fillId="26" borderId="92" applyNumberFormat="0" applyAlignment="0" applyProtection="0">
      <alignment vertical="center"/>
    </xf>
    <xf numFmtId="0" fontId="35" fillId="39" borderId="93" applyNumberFormat="0" applyProtection="0">
      <alignment horizontal="left" vertical="top" indent="1"/>
    </xf>
    <xf numFmtId="0" fontId="80" fillId="49" borderId="93" applyNumberFormat="0" applyProtection="0">
      <alignment horizontal="left" vertical="top" indent="1"/>
    </xf>
    <xf numFmtId="4" fontId="118" fillId="45" borderId="93" applyNumberFormat="0" applyProtection="0">
      <alignment horizontal="right" vertical="center"/>
    </xf>
    <xf numFmtId="0" fontId="80" fillId="22" borderId="91" applyNumberFormat="0" applyFont="0" applyAlignment="0" applyProtection="0"/>
    <xf numFmtId="0" fontId="176" fillId="19" borderId="96" applyNumberFormat="0" applyAlignment="0" applyProtection="0">
      <alignment vertical="center"/>
    </xf>
    <xf numFmtId="0" fontId="146" fillId="26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7" fillId="22" borderId="91" applyNumberFormat="0" applyFont="0" applyAlignment="0" applyProtection="0">
      <alignment vertical="center"/>
    </xf>
    <xf numFmtId="0" fontId="69" fillId="22" borderId="91" applyNumberFormat="0" applyFont="0" applyAlignment="0" applyProtection="0">
      <alignment vertical="center"/>
    </xf>
    <xf numFmtId="0" fontId="18" fillId="22" borderId="91" applyNumberFormat="0" applyFont="0" applyAlignment="0" applyProtection="0">
      <alignment vertical="center"/>
    </xf>
    <xf numFmtId="4" fontId="35" fillId="31" borderId="93" applyNumberFormat="0" applyProtection="0">
      <alignment horizontal="right" vertical="center"/>
    </xf>
    <xf numFmtId="4" fontId="35" fillId="33" borderId="93" applyNumberFormat="0" applyProtection="0">
      <alignment horizontal="right" vertical="center"/>
    </xf>
    <xf numFmtId="0" fontId="113" fillId="41" borderId="93" applyNumberFormat="0" applyProtection="0">
      <alignment horizontal="left" vertical="top" indent="1"/>
    </xf>
    <xf numFmtId="4" fontId="113" fillId="41" borderId="93" applyNumberFormat="0" applyProtection="0">
      <alignment horizontal="left" vertical="center" indent="1"/>
    </xf>
    <xf numFmtId="0" fontId="108" fillId="26" borderId="92" applyNumberFormat="0" applyAlignment="0" applyProtection="0"/>
    <xf numFmtId="0" fontId="6" fillId="22" borderId="91" applyNumberFormat="0" applyFont="0" applyAlignment="0" applyProtection="0">
      <alignment vertical="center"/>
    </xf>
    <xf numFmtId="0" fontId="207" fillId="19" borderId="96" applyNumberForma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6" fillId="22" borderId="91" applyNumberFormat="0" applyFont="0" applyAlignment="0" applyProtection="0">
      <alignment vertical="center"/>
    </xf>
    <xf numFmtId="0" fontId="100" fillId="19" borderId="96" applyNumberFormat="0" applyAlignment="0" applyProtection="0">
      <alignment vertical="center"/>
    </xf>
    <xf numFmtId="0" fontId="80" fillId="46" borderId="93" applyNumberFormat="0" applyProtection="0">
      <alignment horizontal="left" vertical="top" indent="1"/>
    </xf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99" fillId="19" borderId="96" applyNumberFormat="0" applyAlignment="0" applyProtection="0"/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99" fillId="19" borderId="96" applyNumberFormat="0" applyAlignment="0" applyProtection="0"/>
    <xf numFmtId="0" fontId="99" fillId="19" borderId="96" applyNumberFormat="0" applyAlignment="0" applyProtection="0"/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9" borderId="33" applyNumberFormat="0" applyAlignment="0" applyProtection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9" borderId="33" applyNumberFormat="0" applyAlignment="0" applyProtection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54" borderId="33">
      <alignment vertical="center"/>
    </xf>
    <xf numFmtId="0" fontId="99" fillId="19" borderId="96" applyNumberFormat="0" applyAlignment="0" applyProtection="0"/>
    <xf numFmtId="0" fontId="99" fillId="19" borderId="96" applyNumberFormat="0" applyAlignment="0" applyProtection="0"/>
    <xf numFmtId="0" fontId="41" fillId="0" borderId="0">
      <alignment vertical="center"/>
    </xf>
    <xf numFmtId="0" fontId="33" fillId="9" borderId="33" applyNumberFormat="0" applyFont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0" fontId="99" fillId="19" borderId="96" applyNumberFormat="0" applyAlignment="0" applyProtection="0"/>
    <xf numFmtId="10" fontId="88" fillId="39" borderId="2" applyNumberFormat="0" applyBorder="0" applyAlignment="0" applyProtection="0"/>
    <xf numFmtId="10" fontId="88" fillId="39" borderId="2" applyNumberFormat="0" applyBorder="0" applyAlignment="0" applyProtection="0"/>
    <xf numFmtId="0" fontId="18" fillId="0" borderId="79" applyNumberFormat="0" applyFont="0" applyBorder="0" applyAlignment="0">
      <alignment horizontal="center" vertical="center"/>
    </xf>
    <xf numFmtId="0" fontId="27" fillId="10" borderId="2">
      <alignment vertical="center"/>
    </xf>
    <xf numFmtId="0" fontId="1" fillId="0" borderId="0">
      <alignment vertical="center"/>
    </xf>
    <xf numFmtId="0" fontId="33" fillId="0" borderId="0"/>
    <xf numFmtId="38" fontId="4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9" borderId="33" applyNumberFormat="0" applyAlignment="0" applyProtection="0">
      <alignment vertical="center"/>
    </xf>
    <xf numFmtId="0" fontId="1" fillId="9" borderId="33" applyNumberFormat="0" applyAlignment="0" applyProtection="0">
      <alignment vertical="center"/>
    </xf>
    <xf numFmtId="0" fontId="1" fillId="9" borderId="33" applyNumberFormat="0" applyAlignment="0" applyProtection="0">
      <alignment vertical="center"/>
    </xf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10" fontId="88" fillId="39" borderId="2" applyNumberFormat="0" applyBorder="0" applyAlignment="0" applyProtection="0"/>
    <xf numFmtId="0" fontId="18" fillId="0" borderId="79" applyNumberFormat="0" applyFont="0" applyBorder="0" applyAlignment="0">
      <alignment horizontal="center" vertical="center"/>
    </xf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0" fontId="18" fillId="0" borderId="79" applyNumberFormat="0" applyFont="0" applyBorder="0" applyAlignment="0">
      <alignment horizontal="center" vertical="center"/>
    </xf>
    <xf numFmtId="0" fontId="99" fillId="19" borderId="96" applyNumberFormat="0" applyAlignment="0" applyProtection="0"/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10" fontId="88" fillId="39" borderId="2" applyNumberFormat="0" applyBorder="0" applyAlignment="0" applyProtection="0"/>
    <xf numFmtId="0" fontId="18" fillId="0" borderId="79" applyNumberFormat="0" applyFont="0" applyBorder="0" applyAlignment="0">
      <alignment horizontal="center" vertical="center"/>
    </xf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10" fontId="88" fillId="39" borderId="2" applyNumberFormat="0" applyBorder="0" applyAlignment="0" applyProtection="0"/>
    <xf numFmtId="0" fontId="18" fillId="0" borderId="79" applyNumberFormat="0" applyFont="0" applyBorder="0" applyAlignment="0">
      <alignment horizontal="center" vertical="center"/>
    </xf>
    <xf numFmtId="188" fontId="11" fillId="0" borderId="2" applyFill="0" applyBorder="0" applyProtection="0">
      <alignment vertical="center"/>
    </xf>
    <xf numFmtId="188" fontId="11" fillId="0" borderId="2" applyFill="0" applyBorder="0" applyProtection="0">
      <alignment vertical="center"/>
    </xf>
    <xf numFmtId="10" fontId="88" fillId="39" borderId="2" applyNumberFormat="0" applyBorder="0" applyAlignment="0" applyProtection="0"/>
  </cellStyleXfs>
  <cellXfs count="433">
    <xf numFmtId="0" fontId="0" fillId="0" borderId="0" xfId="0">
      <alignment vertical="center"/>
    </xf>
    <xf numFmtId="0" fontId="14" fillId="0" borderId="0" xfId="0" applyFont="1">
      <alignment vertical="center"/>
    </xf>
    <xf numFmtId="14" fontId="9" fillId="4" borderId="2" xfId="1" applyNumberFormat="1" applyFont="1" applyFill="1" applyBorder="1" applyAlignment="1">
      <alignment horizontal="center" vertical="center"/>
    </xf>
    <xf numFmtId="14" fontId="9" fillId="0" borderId="2" xfId="1" applyNumberFormat="1" applyFont="1" applyBorder="1" applyAlignment="1">
      <alignment horizontal="left" vertical="center"/>
    </xf>
    <xf numFmtId="14" fontId="12" fillId="0" borderId="2" xfId="1" applyNumberFormat="1" applyFont="1" applyBorder="1" applyAlignment="1">
      <alignment horizontal="left" vertical="center"/>
    </xf>
    <xf numFmtId="14" fontId="9" fillId="5" borderId="2" xfId="1" applyNumberFormat="1" applyFont="1" applyFill="1" applyBorder="1" applyAlignment="1">
      <alignment horizontal="left" vertical="center"/>
    </xf>
    <xf numFmtId="0" fontId="9" fillId="0" borderId="0" xfId="2" applyFont="1" applyFill="1" applyBorder="1" applyAlignment="1">
      <alignment vertical="center"/>
    </xf>
    <xf numFmtId="49" fontId="15" fillId="2" borderId="0" xfId="1" applyNumberFormat="1" applyFont="1" applyFill="1" applyBorder="1" applyAlignment="1">
      <alignment vertical="center"/>
    </xf>
    <xf numFmtId="0" fontId="9" fillId="2" borderId="0" xfId="1" applyFont="1" applyFill="1" applyBorder="1"/>
    <xf numFmtId="49" fontId="9" fillId="2" borderId="0" xfId="1" applyNumberFormat="1" applyFont="1" applyFill="1" applyBorder="1" applyAlignment="1">
      <alignment vertical="center"/>
    </xf>
    <xf numFmtId="49" fontId="9" fillId="2" borderId="1" xfId="1" applyNumberFormat="1" applyFont="1" applyFill="1" applyBorder="1" applyAlignment="1">
      <alignment vertical="center"/>
    </xf>
    <xf numFmtId="0" fontId="9" fillId="0" borderId="0" xfId="1" applyFont="1" applyFill="1" applyBorder="1"/>
    <xf numFmtId="49" fontId="9" fillId="0" borderId="0" xfId="1" applyNumberFormat="1" applyFont="1" applyFill="1" applyBorder="1" applyAlignment="1">
      <alignment vertical="center"/>
    </xf>
    <xf numFmtId="49" fontId="9" fillId="0" borderId="1" xfId="1" applyNumberFormat="1" applyFont="1" applyFill="1" applyBorder="1" applyAlignment="1">
      <alignment vertical="center"/>
    </xf>
    <xf numFmtId="0" fontId="9" fillId="0" borderId="0" xfId="1" applyFont="1" applyFill="1" applyBorder="1" applyAlignment="1">
      <alignment horizontal="left" indent="1"/>
    </xf>
    <xf numFmtId="0" fontId="14" fillId="0" borderId="0" xfId="2" applyFont="1" applyBorder="1">
      <alignment vertical="center"/>
    </xf>
    <xf numFmtId="0" fontId="14" fillId="0" borderId="1" xfId="2" applyFont="1" applyBorder="1">
      <alignment vertical="center"/>
    </xf>
    <xf numFmtId="0" fontId="9" fillId="0" borderId="0" xfId="1" applyFont="1" applyFill="1"/>
    <xf numFmtId="49" fontId="16" fillId="0" borderId="0" xfId="1" applyNumberFormat="1" applyFont="1" applyFill="1" applyBorder="1" applyAlignment="1">
      <alignment vertical="center"/>
    </xf>
    <xf numFmtId="49" fontId="9" fillId="0" borderId="2" xfId="1" applyNumberFormat="1" applyFont="1" applyFill="1" applyBorder="1" applyAlignment="1">
      <alignment horizontal="center" vertical="center"/>
    </xf>
    <xf numFmtId="176" fontId="17" fillId="0" borderId="0" xfId="1" applyNumberFormat="1" applyFont="1" applyFill="1" applyBorder="1" applyAlignment="1">
      <alignment horizontal="center" vertical="center"/>
    </xf>
    <xf numFmtId="176" fontId="6" fillId="0" borderId="0" xfId="0" applyNumberFormat="1" applyFont="1" applyFill="1" applyBorder="1" applyAlignment="1">
      <alignment vertical="center"/>
    </xf>
    <xf numFmtId="14" fontId="17" fillId="0" borderId="0" xfId="1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177" fontId="17" fillId="0" borderId="0" xfId="1" applyNumberFormat="1" applyFont="1" applyFill="1" applyBorder="1" applyAlignment="1">
      <alignment horizontal="center" vertical="center"/>
    </xf>
    <xf numFmtId="14" fontId="17" fillId="0" borderId="0" xfId="1" applyNumberFormat="1" applyFont="1" applyFill="1" applyBorder="1" applyAlignment="1">
      <alignment horizontal="left" vertical="center"/>
    </xf>
    <xf numFmtId="0" fontId="18" fillId="0" borderId="0" xfId="0" applyFont="1" applyFill="1" applyBorder="1" applyAlignment="1">
      <alignment vertical="center"/>
    </xf>
    <xf numFmtId="0" fontId="0" fillId="0" borderId="0" xfId="0" applyFill="1">
      <alignment vertical="center"/>
    </xf>
    <xf numFmtId="176" fontId="11" fillId="5" borderId="0" xfId="1" applyNumberFormat="1" applyFont="1" applyFill="1" applyBorder="1" applyAlignment="1">
      <alignment horizontal="center" vertical="center"/>
    </xf>
    <xf numFmtId="176" fontId="10" fillId="5" borderId="0" xfId="0" applyNumberFormat="1" applyFont="1" applyFill="1" applyBorder="1" applyAlignment="1">
      <alignment vertical="center"/>
    </xf>
    <xf numFmtId="14" fontId="11" fillId="5" borderId="0" xfId="1" applyNumberFormat="1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vertical="center"/>
    </xf>
    <xf numFmtId="177" fontId="11" fillId="5" borderId="0" xfId="1" applyNumberFormat="1" applyFont="1" applyFill="1" applyBorder="1" applyAlignment="1">
      <alignment horizontal="center" vertical="center"/>
    </xf>
    <xf numFmtId="14" fontId="11" fillId="5" borderId="0" xfId="1" applyNumberFormat="1" applyFont="1" applyFill="1" applyBorder="1" applyAlignment="1">
      <alignment horizontal="left" vertical="center"/>
    </xf>
    <xf numFmtId="0" fontId="11" fillId="5" borderId="0" xfId="3" applyFont="1" applyFill="1" applyBorder="1" applyAlignment="1">
      <alignment vertical="center"/>
    </xf>
    <xf numFmtId="0" fontId="9" fillId="5" borderId="0" xfId="0" applyFont="1" applyFill="1" applyBorder="1" applyAlignment="1">
      <alignment vertical="center"/>
    </xf>
    <xf numFmtId="0" fontId="9" fillId="5" borderId="7" xfId="0" applyFont="1" applyFill="1" applyBorder="1" applyAlignment="1">
      <alignment vertical="center"/>
    </xf>
    <xf numFmtId="0" fontId="11" fillId="5" borderId="7" xfId="3" applyFont="1" applyFill="1" applyBorder="1" applyAlignment="1">
      <alignment vertical="center"/>
    </xf>
    <xf numFmtId="0" fontId="9" fillId="5" borderId="8" xfId="0" applyFont="1" applyFill="1" applyBorder="1" applyAlignment="1">
      <alignment vertical="center"/>
    </xf>
    <xf numFmtId="0" fontId="11" fillId="5" borderId="9" xfId="3" applyFont="1" applyFill="1" applyBorder="1" applyAlignment="1">
      <alignment vertical="center"/>
    </xf>
    <xf numFmtId="0" fontId="9" fillId="5" borderId="10" xfId="0" applyFont="1" applyFill="1" applyBorder="1" applyAlignment="1">
      <alignment vertical="center"/>
    </xf>
    <xf numFmtId="0" fontId="11" fillId="5" borderId="1" xfId="3" applyFont="1" applyFill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11" fillId="5" borderId="11" xfId="3" applyFont="1" applyFill="1" applyBorder="1" applyAlignment="1">
      <alignment vertical="center"/>
    </xf>
    <xf numFmtId="0" fontId="9" fillId="5" borderId="12" xfId="0" applyFont="1" applyFill="1" applyBorder="1" applyAlignment="1">
      <alignment vertical="center"/>
    </xf>
    <xf numFmtId="0" fontId="24" fillId="5" borderId="0" xfId="4" applyFont="1" applyFill="1" applyAlignment="1">
      <alignment horizontal="right" vertical="center"/>
    </xf>
    <xf numFmtId="0" fontId="23" fillId="5" borderId="0" xfId="1" applyFont="1" applyFill="1" applyAlignment="1">
      <alignment horizontal="center" vertical="center"/>
    </xf>
    <xf numFmtId="0" fontId="13" fillId="5" borderId="0" xfId="0" applyFont="1" applyFill="1" applyAlignment="1">
      <alignment vertical="center"/>
    </xf>
    <xf numFmtId="0" fontId="24" fillId="5" borderId="15" xfId="4" applyFont="1" applyFill="1" applyBorder="1">
      <alignment vertical="center"/>
    </xf>
    <xf numFmtId="0" fontId="24" fillId="5" borderId="16" xfId="4" applyFont="1" applyFill="1" applyBorder="1">
      <alignment vertical="center"/>
    </xf>
    <xf numFmtId="0" fontId="24" fillId="5" borderId="17" xfId="4" applyFont="1" applyFill="1" applyBorder="1">
      <alignment vertical="center"/>
    </xf>
    <xf numFmtId="0" fontId="24" fillId="5" borderId="18" xfId="4" applyFont="1" applyFill="1" applyBorder="1">
      <alignment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7" borderId="27" xfId="0" applyFont="1" applyFill="1" applyBorder="1" applyAlignment="1">
      <alignment horizontal="center" vertical="top"/>
    </xf>
    <xf numFmtId="0" fontId="9" fillId="7" borderId="2" xfId="0" applyFont="1" applyFill="1" applyBorder="1" applyAlignment="1">
      <alignment horizontal="center" vertical="top"/>
    </xf>
    <xf numFmtId="0" fontId="9" fillId="7" borderId="32" xfId="0" applyFont="1" applyFill="1" applyBorder="1" applyAlignment="1">
      <alignment horizontal="center" vertical="top"/>
    </xf>
    <xf numFmtId="180" fontId="9" fillId="7" borderId="32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center"/>
    </xf>
    <xf numFmtId="0" fontId="9" fillId="6" borderId="27" xfId="0" applyFont="1" applyFill="1" applyBorder="1" applyAlignment="1">
      <alignment horizontal="center" vertical="center"/>
    </xf>
    <xf numFmtId="0" fontId="9" fillId="6" borderId="28" xfId="0" applyFont="1" applyFill="1" applyBorder="1" applyAlignment="1">
      <alignment horizontal="center" vertical="center"/>
    </xf>
    <xf numFmtId="0" fontId="9" fillId="6" borderId="29" xfId="0" applyFont="1" applyFill="1" applyBorder="1" applyAlignment="1">
      <alignment horizontal="center" vertical="center"/>
    </xf>
    <xf numFmtId="180" fontId="9" fillId="6" borderId="30" xfId="0" applyNumberFormat="1" applyFont="1" applyFill="1" applyBorder="1" applyAlignment="1">
      <alignment horizontal="center" vertical="center"/>
    </xf>
    <xf numFmtId="181" fontId="9" fillId="6" borderId="31" xfId="0" quotePrefix="1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vertical="center"/>
    </xf>
    <xf numFmtId="0" fontId="9" fillId="6" borderId="2" xfId="0" applyFont="1" applyFill="1" applyBorder="1" applyAlignment="1">
      <alignment horizontal="center" vertical="center"/>
    </xf>
    <xf numFmtId="180" fontId="9" fillId="6" borderId="32" xfId="0" applyNumberFormat="1" applyFont="1" applyFill="1" applyBorder="1" applyAlignment="1">
      <alignment horizontal="center" vertical="center"/>
    </xf>
    <xf numFmtId="181" fontId="9" fillId="6" borderId="18" xfId="0" quotePrefix="1" applyNumberFormat="1" applyFont="1" applyFill="1" applyBorder="1" applyAlignment="1">
      <alignment horizontal="center" vertical="center" shrinkToFit="1"/>
    </xf>
    <xf numFmtId="49" fontId="37" fillId="6" borderId="15" xfId="15" applyNumberFormat="1" applyFont="1" applyFill="1" applyBorder="1" applyAlignment="1">
      <alignment horizontal="center" vertical="center"/>
    </xf>
    <xf numFmtId="49" fontId="37" fillId="6" borderId="2" xfId="15" applyNumberFormat="1" applyFont="1" applyFill="1" applyBorder="1" applyAlignment="1">
      <alignment horizontal="center" vertical="center"/>
    </xf>
    <xf numFmtId="0" fontId="13" fillId="5" borderId="0" xfId="0" applyFont="1" applyFill="1">
      <alignment vertical="center"/>
    </xf>
    <xf numFmtId="0" fontId="13" fillId="5" borderId="0" xfId="0" applyNumberFormat="1" applyFont="1" applyFill="1" applyBorder="1" applyAlignment="1">
      <alignment vertical="center"/>
    </xf>
    <xf numFmtId="0" fontId="30" fillId="5" borderId="0" xfId="0" applyNumberFormat="1" applyFont="1" applyFill="1" applyAlignment="1">
      <alignment vertical="center"/>
    </xf>
    <xf numFmtId="0" fontId="13" fillId="5" borderId="0" xfId="0" applyNumberFormat="1" applyFont="1" applyFill="1" applyAlignment="1">
      <alignment vertical="center"/>
    </xf>
    <xf numFmtId="0" fontId="0" fillId="5" borderId="0" xfId="0" applyFill="1">
      <alignment vertical="center"/>
    </xf>
    <xf numFmtId="0" fontId="38" fillId="5" borderId="0" xfId="0" applyFont="1" applyFill="1">
      <alignment vertical="center"/>
    </xf>
    <xf numFmtId="0" fontId="31" fillId="5" borderId="0" xfId="0" applyNumberFormat="1" applyFont="1" applyFill="1" applyAlignment="1">
      <alignment vertical="center"/>
    </xf>
    <xf numFmtId="22" fontId="13" fillId="5" borderId="0" xfId="0" applyNumberFormat="1" applyFont="1" applyFill="1" applyBorder="1" applyAlignment="1">
      <alignment vertical="center"/>
    </xf>
    <xf numFmtId="14" fontId="13" fillId="5" borderId="0" xfId="0" applyNumberFormat="1" applyFont="1" applyFill="1" applyBorder="1" applyAlignment="1">
      <alignment vertical="center"/>
    </xf>
    <xf numFmtId="0" fontId="27" fillId="10" borderId="42" xfId="14" applyFont="1" applyFill="1" applyBorder="1" applyAlignment="1">
      <alignment horizontal="left" vertical="center"/>
    </xf>
    <xf numFmtId="0" fontId="28" fillId="10" borderId="49" xfId="0" applyNumberFormat="1" applyFont="1" applyFill="1" applyBorder="1" applyAlignment="1">
      <alignment vertical="center"/>
    </xf>
    <xf numFmtId="0" fontId="10" fillId="11" borderId="49" xfId="0" applyNumberFormat="1" applyFont="1" applyFill="1" applyBorder="1" applyAlignment="1">
      <alignment horizontal="right" vertical="center"/>
    </xf>
    <xf numFmtId="49" fontId="10" fillId="4" borderId="8" xfId="16" applyNumberFormat="1" applyFont="1" applyFill="1" applyBorder="1" applyAlignment="1">
      <alignment wrapText="1"/>
    </xf>
    <xf numFmtId="49" fontId="10" fillId="4" borderId="43" xfId="16" applyNumberFormat="1" applyFont="1" applyFill="1" applyBorder="1" applyAlignment="1">
      <alignment wrapText="1"/>
    </xf>
    <xf numFmtId="0" fontId="10" fillId="4" borderId="45" xfId="16" applyFont="1" applyFill="1" applyBorder="1" applyAlignment="1">
      <alignment horizontal="centerContinuous"/>
    </xf>
    <xf numFmtId="0" fontId="9" fillId="0" borderId="0" xfId="16" applyFont="1" applyFill="1" applyAlignment="1"/>
    <xf numFmtId="49" fontId="10" fillId="4" borderId="10" xfId="16" applyNumberFormat="1" applyFont="1" applyFill="1" applyBorder="1" applyAlignment="1">
      <alignment wrapText="1"/>
    </xf>
    <xf numFmtId="49" fontId="10" fillId="4" borderId="15" xfId="16" applyNumberFormat="1" applyFont="1" applyFill="1" applyBorder="1" applyAlignment="1">
      <alignment wrapText="1"/>
    </xf>
    <xf numFmtId="49" fontId="10" fillId="4" borderId="15" xfId="16" applyNumberFormat="1" applyFont="1" applyFill="1" applyBorder="1" applyAlignment="1">
      <alignment horizontal="center" wrapText="1"/>
    </xf>
    <xf numFmtId="0" fontId="10" fillId="4" borderId="6" xfId="16" applyFont="1" applyFill="1" applyBorder="1" applyAlignment="1"/>
    <xf numFmtId="0" fontId="10" fillId="4" borderId="15" xfId="16" applyFont="1" applyFill="1" applyBorder="1" applyAlignment="1"/>
    <xf numFmtId="49" fontId="10" fillId="4" borderId="47" xfId="16" applyNumberFormat="1" applyFont="1" applyFill="1" applyBorder="1" applyAlignment="1">
      <alignment horizontal="center" wrapText="1"/>
    </xf>
    <xf numFmtId="49" fontId="10" fillId="4" borderId="17" xfId="16" applyNumberFormat="1" applyFont="1" applyFill="1" applyBorder="1" applyAlignment="1">
      <alignment horizontal="center" wrapText="1"/>
    </xf>
    <xf numFmtId="0" fontId="10" fillId="4" borderId="17" xfId="16" applyFont="1" applyFill="1" applyBorder="1" applyAlignment="1">
      <alignment horizontal="center"/>
    </xf>
    <xf numFmtId="182" fontId="10" fillId="0" borderId="48" xfId="16" applyNumberFormat="1" applyFont="1" applyFill="1" applyBorder="1" applyAlignment="1">
      <alignment horizontal="center" vertical="center"/>
    </xf>
    <xf numFmtId="182" fontId="10" fillId="0" borderId="2" xfId="16" applyNumberFormat="1" applyFont="1" applyFill="1" applyBorder="1" applyAlignment="1">
      <alignment horizontal="center" vertical="center"/>
    </xf>
    <xf numFmtId="182" fontId="10" fillId="0" borderId="32" xfId="16" applyNumberFormat="1" applyFont="1" applyFill="1" applyBorder="1" applyAlignment="1">
      <alignment horizontal="center" vertical="center"/>
    </xf>
    <xf numFmtId="182" fontId="10" fillId="8" borderId="2" xfId="16" applyNumberFormat="1" applyFont="1" applyFill="1" applyBorder="1" applyAlignment="1">
      <alignment vertical="center"/>
    </xf>
    <xf numFmtId="182" fontId="10" fillId="8" borderId="32" xfId="16" applyNumberFormat="1" applyFont="1" applyFill="1" applyBorder="1" applyAlignment="1">
      <alignment vertical="center"/>
    </xf>
    <xf numFmtId="0" fontId="9" fillId="0" borderId="0" xfId="16" applyFont="1" applyFill="1" applyAlignment="1">
      <alignment vertical="center"/>
    </xf>
    <xf numFmtId="0" fontId="9" fillId="0" borderId="0" xfId="16" applyFont="1" applyFill="1" applyAlignment="1">
      <alignment horizontal="left" vertical="top"/>
    </xf>
    <xf numFmtId="0" fontId="10" fillId="0" borderId="0" xfId="16" applyNumberFormat="1" applyFont="1" applyFill="1" applyBorder="1" applyAlignment="1">
      <alignment horizontal="center" vertical="center" wrapText="1"/>
    </xf>
    <xf numFmtId="186" fontId="10" fillId="0" borderId="0" xfId="16" applyNumberFormat="1" applyFont="1" applyFill="1" applyBorder="1" applyAlignment="1">
      <alignment horizontal="center" vertical="center" wrapText="1"/>
    </xf>
    <xf numFmtId="0" fontId="28" fillId="10" borderId="46" xfId="16" applyFont="1" applyFill="1" applyBorder="1" applyAlignment="1">
      <alignment vertical="center"/>
    </xf>
    <xf numFmtId="0" fontId="28" fillId="10" borderId="0" xfId="16" applyFont="1" applyFill="1" applyBorder="1" applyAlignment="1">
      <alignment vertical="center"/>
    </xf>
    <xf numFmtId="0" fontId="28" fillId="10" borderId="0" xfId="16" applyFont="1" applyFill="1" applyBorder="1" applyAlignment="1"/>
    <xf numFmtId="0" fontId="9" fillId="10" borderId="0" xfId="16" applyFont="1" applyFill="1" applyAlignment="1"/>
    <xf numFmtId="0" fontId="28" fillId="10" borderId="49" xfId="16" applyFont="1" applyFill="1" applyBorder="1" applyAlignment="1">
      <alignment vertical="center"/>
    </xf>
    <xf numFmtId="0" fontId="40" fillId="0" borderId="49" xfId="16" applyFont="1" applyFill="1" applyBorder="1" applyAlignment="1">
      <alignment horizontal="left" vertical="center"/>
    </xf>
    <xf numFmtId="0" fontId="28" fillId="10" borderId="62" xfId="0" applyNumberFormat="1" applyFont="1" applyFill="1" applyBorder="1" applyAlignment="1">
      <alignment horizontal="center" vertical="center"/>
    </xf>
    <xf numFmtId="14" fontId="13" fillId="5" borderId="62" xfId="0" applyNumberFormat="1" applyFont="1" applyFill="1" applyBorder="1" applyAlignment="1">
      <alignment vertical="center"/>
    </xf>
    <xf numFmtId="0" fontId="13" fillId="5" borderId="39" xfId="0" applyNumberFormat="1" applyFont="1" applyFill="1" applyBorder="1" applyAlignment="1">
      <alignment horizontal="center" vertical="center"/>
    </xf>
    <xf numFmtId="14" fontId="10" fillId="11" borderId="49" xfId="0" applyNumberFormat="1" applyFont="1" applyFill="1" applyBorder="1" applyAlignment="1">
      <alignment horizontal="right" vertical="center"/>
    </xf>
    <xf numFmtId="49" fontId="40" fillId="0" borderId="49" xfId="16" applyNumberFormat="1" applyFont="1" applyFill="1" applyBorder="1" applyAlignment="1">
      <alignment horizontal="left" vertical="center"/>
    </xf>
    <xf numFmtId="182" fontId="10" fillId="0" borderId="62" xfId="16" applyNumberFormat="1" applyFont="1" applyFill="1" applyBorder="1" applyAlignment="1">
      <alignment horizontal="center" vertical="center"/>
    </xf>
    <xf numFmtId="182" fontId="10" fillId="8" borderId="62" xfId="16" applyNumberFormat="1" applyFont="1" applyFill="1" applyBorder="1" applyAlignment="1">
      <alignment vertical="center"/>
    </xf>
    <xf numFmtId="176" fontId="34" fillId="10" borderId="49" xfId="16" applyNumberFormat="1" applyFont="1" applyFill="1" applyBorder="1" applyAlignment="1">
      <alignment horizontal="left" vertical="center"/>
    </xf>
    <xf numFmtId="0" fontId="28" fillId="10" borderId="53" xfId="16" applyFont="1" applyFill="1" applyBorder="1" applyAlignment="1">
      <alignment vertical="center"/>
    </xf>
    <xf numFmtId="0" fontId="28" fillId="10" borderId="40" xfId="16" applyFont="1" applyFill="1" applyBorder="1" applyAlignment="1">
      <alignment vertical="center"/>
    </xf>
    <xf numFmtId="0" fontId="40" fillId="0" borderId="49" xfId="16" applyFont="1" applyFill="1" applyBorder="1" applyAlignment="1">
      <alignment horizontal="left" vertical="center"/>
    </xf>
    <xf numFmtId="0" fontId="40" fillId="11" borderId="81" xfId="16" applyFont="1" applyFill="1" applyBorder="1" applyAlignment="1">
      <alignment horizontal="left" vertical="top"/>
    </xf>
    <xf numFmtId="0" fontId="30" fillId="55" borderId="0" xfId="0" applyFont="1" applyFill="1" applyAlignment="1">
      <alignment horizontal="left" vertical="center"/>
    </xf>
    <xf numFmtId="0" fontId="39" fillId="55" borderId="42" xfId="13" applyFont="1" applyFill="1" applyBorder="1" applyAlignment="1">
      <alignment vertical="center"/>
    </xf>
    <xf numFmtId="49" fontId="13" fillId="5" borderId="39" xfId="0" applyNumberFormat="1" applyFont="1" applyFill="1" applyBorder="1" applyAlignment="1">
      <alignment horizontal="center" vertical="center"/>
    </xf>
    <xf numFmtId="0" fontId="13" fillId="55" borderId="0" xfId="0" applyNumberFormat="1" applyFont="1" applyFill="1" applyAlignment="1">
      <alignment vertical="center"/>
    </xf>
    <xf numFmtId="0" fontId="10" fillId="5" borderId="0" xfId="16" applyNumberFormat="1" applyFont="1" applyFill="1" applyBorder="1" applyAlignment="1">
      <alignment horizontal="center" vertical="center" wrapText="1"/>
    </xf>
    <xf numFmtId="0" fontId="0" fillId="55" borderId="0" xfId="0" applyFill="1">
      <alignment vertical="center"/>
    </xf>
    <xf numFmtId="186" fontId="28" fillId="5" borderId="0" xfId="0" applyNumberFormat="1" applyFont="1" applyFill="1" applyBorder="1" applyAlignment="1">
      <alignment vertical="center"/>
    </xf>
    <xf numFmtId="0" fontId="9" fillId="5" borderId="0" xfId="16" applyFont="1" applyFill="1" applyAlignment="1">
      <alignment vertical="center"/>
    </xf>
    <xf numFmtId="0" fontId="219" fillId="10" borderId="53" xfId="16" applyFont="1" applyFill="1" applyBorder="1" applyAlignment="1">
      <alignment vertical="center"/>
    </xf>
    <xf numFmtId="0" fontId="40" fillId="10" borderId="90" xfId="16" applyFont="1" applyFill="1" applyBorder="1" applyAlignment="1">
      <alignment horizontal="left" vertical="top"/>
    </xf>
    <xf numFmtId="0" fontId="40" fillId="10" borderId="85" xfId="16" applyFont="1" applyFill="1" applyBorder="1" applyAlignment="1">
      <alignment horizontal="left" vertical="top"/>
    </xf>
    <xf numFmtId="0" fontId="30" fillId="55" borderId="0" xfId="0" applyNumberFormat="1" applyFont="1" applyFill="1" applyAlignment="1">
      <alignment vertical="center"/>
    </xf>
    <xf numFmtId="0" fontId="40" fillId="10" borderId="81" xfId="16" applyFont="1" applyFill="1" applyBorder="1" applyAlignment="1">
      <alignment horizontal="left" vertical="top"/>
    </xf>
    <xf numFmtId="0" fontId="13" fillId="55" borderId="0" xfId="0" applyFont="1" applyFill="1">
      <alignment vertical="center"/>
    </xf>
    <xf numFmtId="14" fontId="13" fillId="55" borderId="0" xfId="0" applyNumberFormat="1" applyFont="1" applyFill="1" applyBorder="1" applyAlignment="1">
      <alignment vertical="center"/>
    </xf>
    <xf numFmtId="0" fontId="40" fillId="11" borderId="90" xfId="16" applyFont="1" applyFill="1" applyBorder="1" applyAlignment="1">
      <alignment horizontal="left" vertical="top"/>
    </xf>
    <xf numFmtId="0" fontId="28" fillId="10" borderId="97" xfId="0" applyNumberFormat="1" applyFont="1" applyFill="1" applyBorder="1" applyAlignment="1">
      <alignment horizontal="center" vertical="center"/>
    </xf>
    <xf numFmtId="22" fontId="13" fillId="55" borderId="0" xfId="0" applyNumberFormat="1" applyFont="1" applyFill="1" applyBorder="1" applyAlignment="1">
      <alignment vertical="center"/>
    </xf>
    <xf numFmtId="0" fontId="28" fillId="10" borderId="39" xfId="0" applyNumberFormat="1" applyFont="1" applyFill="1" applyBorder="1" applyAlignment="1">
      <alignment horizontal="center" vertical="center"/>
    </xf>
    <xf numFmtId="49" fontId="13" fillId="5" borderId="97" xfId="0" applyNumberFormat="1" applyFont="1" applyFill="1" applyBorder="1" applyAlignment="1">
      <alignment vertical="center"/>
    </xf>
    <xf numFmtId="0" fontId="0" fillId="5" borderId="2" xfId="0" applyFill="1" applyBorder="1">
      <alignment vertical="center"/>
    </xf>
    <xf numFmtId="14" fontId="0" fillId="5" borderId="2" xfId="0" applyNumberFormat="1" applyFill="1" applyBorder="1">
      <alignment vertical="center"/>
    </xf>
    <xf numFmtId="0" fontId="40" fillId="0" borderId="49" xfId="16" applyNumberFormat="1" applyFont="1" applyFill="1" applyBorder="1" applyAlignment="1">
      <alignment horizontal="left" vertical="center"/>
    </xf>
    <xf numFmtId="0" fontId="28" fillId="5" borderId="0" xfId="0" applyNumberFormat="1" applyFont="1" applyFill="1" applyBorder="1" applyAlignment="1">
      <alignment horizontal="center" vertical="center"/>
    </xf>
    <xf numFmtId="0" fontId="28" fillId="5" borderId="40" xfId="16" applyFont="1" applyFill="1" applyBorder="1" applyAlignment="1">
      <alignment vertical="top" wrapText="1"/>
    </xf>
    <xf numFmtId="0" fontId="30" fillId="55" borderId="0" xfId="0" applyNumberFormat="1" applyFont="1" applyFill="1" applyBorder="1" applyAlignment="1">
      <alignment vertical="center"/>
    </xf>
    <xf numFmtId="0" fontId="2" fillId="5" borderId="0" xfId="2192" applyFill="1">
      <alignment vertical="center"/>
    </xf>
    <xf numFmtId="186" fontId="10" fillId="5" borderId="0" xfId="16" applyNumberFormat="1" applyFont="1" applyFill="1" applyBorder="1" applyAlignment="1">
      <alignment horizontal="center" vertical="center" wrapText="1"/>
    </xf>
    <xf numFmtId="0" fontId="13" fillId="55" borderId="0" xfId="0" applyNumberFormat="1" applyFont="1" applyFill="1" applyBorder="1" applyAlignment="1">
      <alignment vertical="center"/>
    </xf>
    <xf numFmtId="0" fontId="27" fillId="10" borderId="2" xfId="11" applyBorder="1">
      <alignment vertical="center"/>
    </xf>
    <xf numFmtId="178" fontId="21" fillId="5" borderId="0" xfId="1" applyNumberFormat="1" applyFont="1" applyFill="1" applyBorder="1" applyAlignment="1">
      <alignment horizontal="center" vertical="center"/>
    </xf>
    <xf numFmtId="0" fontId="13" fillId="5" borderId="0" xfId="0" applyFont="1" applyFill="1" applyAlignment="1">
      <alignment horizontal="right" vertical="center"/>
    </xf>
    <xf numFmtId="49" fontId="9" fillId="3" borderId="2" xfId="1" applyNumberFormat="1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30" fillId="0" borderId="0" xfId="0" applyFont="1" applyFill="1" applyAlignment="1">
      <alignment horizontal="right" vertical="center"/>
    </xf>
    <xf numFmtId="0" fontId="9" fillId="0" borderId="0" xfId="16" applyFont="1" applyFill="1" applyAlignment="1">
      <alignment horizontal="center" vertical="center"/>
    </xf>
    <xf numFmtId="0" fontId="1" fillId="5" borderId="0" xfId="11365" applyFill="1">
      <alignment vertical="center"/>
    </xf>
    <xf numFmtId="0" fontId="28" fillId="0" borderId="90" xfId="16" applyFont="1" applyFill="1" applyBorder="1" applyAlignment="1">
      <alignment horizontal="center" vertical="center"/>
    </xf>
    <xf numFmtId="0" fontId="10" fillId="0" borderId="99" xfId="16" applyFont="1" applyFill="1" applyBorder="1" applyAlignment="1">
      <alignment horizontal="center" vertical="center"/>
    </xf>
    <xf numFmtId="0" fontId="28" fillId="0" borderId="87" xfId="16" applyFont="1" applyFill="1" applyBorder="1" applyAlignment="1">
      <alignment horizontal="center" vertical="center"/>
    </xf>
    <xf numFmtId="0" fontId="10" fillId="0" borderId="90" xfId="16" applyFont="1" applyFill="1" applyBorder="1" applyAlignment="1">
      <alignment horizontal="center" vertical="center"/>
    </xf>
    <xf numFmtId="38" fontId="13" fillId="5" borderId="39" xfId="1974" applyFont="1" applyFill="1" applyBorder="1" applyAlignment="1">
      <alignment horizontal="center" vertical="center"/>
    </xf>
    <xf numFmtId="0" fontId="10" fillId="56" borderId="99" xfId="16" applyFont="1" applyFill="1" applyBorder="1" applyAlignment="1">
      <alignment horizontal="center" vertical="center"/>
    </xf>
    <xf numFmtId="0" fontId="27" fillId="10" borderId="2" xfId="11" applyBorder="1">
      <alignment vertical="center"/>
    </xf>
    <xf numFmtId="178" fontId="23" fillId="5" borderId="0" xfId="1" applyNumberFormat="1" applyFont="1" applyFill="1" applyAlignment="1">
      <alignment horizontal="center" vertical="center"/>
    </xf>
    <xf numFmtId="0" fontId="13" fillId="5" borderId="0" xfId="0" applyFont="1" applyFill="1" applyAlignment="1">
      <alignment horizontal="right" vertical="center"/>
    </xf>
    <xf numFmtId="0" fontId="24" fillId="5" borderId="13" xfId="4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178" fontId="22" fillId="5" borderId="0" xfId="1" applyNumberFormat="1" applyFont="1" applyFill="1" applyBorder="1" applyAlignment="1">
      <alignment horizontal="center" vertical="center"/>
    </xf>
    <xf numFmtId="178" fontId="21" fillId="5" borderId="0" xfId="1" applyNumberFormat="1" applyFont="1" applyFill="1" applyBorder="1" applyAlignment="1">
      <alignment horizontal="center" vertical="center"/>
    </xf>
    <xf numFmtId="179" fontId="22" fillId="5" borderId="0" xfId="1" applyNumberFormat="1" applyFont="1" applyFill="1" applyBorder="1" applyAlignment="1">
      <alignment horizontal="center" vertical="center"/>
    </xf>
    <xf numFmtId="49" fontId="9" fillId="0" borderId="2" xfId="1" applyNumberFormat="1" applyFont="1" applyFill="1" applyBorder="1" applyAlignment="1">
      <alignment horizontal="left" vertical="top" wrapText="1"/>
    </xf>
    <xf numFmtId="49" fontId="9" fillId="3" borderId="2" xfId="1" applyNumberFormat="1" applyFont="1" applyFill="1" applyBorder="1" applyAlignment="1">
      <alignment horizontal="center" vertical="center"/>
    </xf>
    <xf numFmtId="0" fontId="9" fillId="3" borderId="2" xfId="1" applyFont="1" applyFill="1" applyBorder="1" applyAlignment="1">
      <alignment horizontal="center"/>
    </xf>
    <xf numFmtId="0" fontId="9" fillId="4" borderId="21" xfId="0" applyFont="1" applyFill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 wrapText="1"/>
    </xf>
    <xf numFmtId="0" fontId="9" fillId="4" borderId="20" xfId="0" applyFont="1" applyFill="1" applyBorder="1" applyAlignment="1">
      <alignment horizontal="center" vertical="center" wrapText="1"/>
    </xf>
    <xf numFmtId="0" fontId="9" fillId="4" borderId="26" xfId="0" applyFont="1" applyFill="1" applyBorder="1" applyAlignment="1">
      <alignment horizontal="center" vertical="center"/>
    </xf>
    <xf numFmtId="38" fontId="40" fillId="5" borderId="85" xfId="16" applyNumberFormat="1" applyFont="1" applyFill="1" applyBorder="1" applyAlignment="1">
      <alignment horizontal="center" vertical="center"/>
    </xf>
    <xf numFmtId="38" fontId="40" fillId="5" borderId="51" xfId="16" applyNumberFormat="1" applyFont="1" applyFill="1" applyBorder="1" applyAlignment="1">
      <alignment horizontal="center" vertical="center"/>
    </xf>
    <xf numFmtId="229" fontId="40" fillId="5" borderId="84" xfId="1974" applyNumberFormat="1" applyFont="1" applyFill="1" applyBorder="1" applyAlignment="1">
      <alignment horizontal="center" vertical="center"/>
    </xf>
    <xf numFmtId="229" fontId="40" fillId="5" borderId="85" xfId="1974" applyNumberFormat="1" applyFont="1" applyFill="1" applyBorder="1" applyAlignment="1">
      <alignment horizontal="center" vertical="center"/>
    </xf>
    <xf numFmtId="0" fontId="28" fillId="10" borderId="98" xfId="16" applyFont="1" applyFill="1" applyBorder="1" applyAlignment="1">
      <alignment horizontal="center" vertical="center"/>
    </xf>
    <xf numFmtId="0" fontId="28" fillId="10" borderId="74" xfId="16" applyFont="1" applyFill="1" applyBorder="1" applyAlignment="1">
      <alignment horizontal="center" vertical="center"/>
    </xf>
    <xf numFmtId="0" fontId="28" fillId="10" borderId="52" xfId="16" applyFont="1" applyFill="1" applyBorder="1" applyAlignment="1">
      <alignment horizontal="center" vertical="center"/>
    </xf>
    <xf numFmtId="0" fontId="28" fillId="10" borderId="49" xfId="16" applyFont="1" applyFill="1" applyBorder="1" applyAlignment="1">
      <alignment horizontal="center" vertical="center"/>
    </xf>
    <xf numFmtId="0" fontId="34" fillId="10" borderId="87" xfId="16" applyFont="1" applyFill="1" applyBorder="1" applyAlignment="1">
      <alignment horizontal="left" vertical="center" indent="1"/>
    </xf>
    <xf numFmtId="0" fontId="34" fillId="10" borderId="88" xfId="16" applyFont="1" applyFill="1" applyBorder="1" applyAlignment="1">
      <alignment horizontal="left" vertical="center" indent="1"/>
    </xf>
    <xf numFmtId="0" fontId="34" fillId="10" borderId="89" xfId="16" applyFont="1" applyFill="1" applyBorder="1" applyAlignment="1">
      <alignment horizontal="left" vertical="center" indent="1"/>
    </xf>
    <xf numFmtId="0" fontId="34" fillId="10" borderId="81" xfId="16" applyFont="1" applyFill="1" applyBorder="1" applyAlignment="1">
      <alignment horizontal="left" vertical="center" indent="1"/>
    </xf>
    <xf numFmtId="0" fontId="34" fillId="10" borderId="0" xfId="16" applyFont="1" applyFill="1" applyBorder="1" applyAlignment="1">
      <alignment horizontal="left" vertical="center" indent="1"/>
    </xf>
    <xf numFmtId="0" fontId="34" fillId="10" borderId="83" xfId="16" applyFont="1" applyFill="1" applyBorder="1" applyAlignment="1">
      <alignment horizontal="left" vertical="center" indent="1"/>
    </xf>
    <xf numFmtId="0" fontId="40" fillId="0" borderId="87" xfId="16" applyFont="1" applyFill="1" applyBorder="1" applyAlignment="1">
      <alignment horizontal="center" vertical="center"/>
    </xf>
    <xf numFmtId="0" fontId="40" fillId="0" borderId="89" xfId="16" applyFont="1" applyFill="1" applyBorder="1" applyAlignment="1">
      <alignment horizontal="center" vertical="center"/>
    </xf>
    <xf numFmtId="0" fontId="40" fillId="0" borderId="81" xfId="16" applyFont="1" applyFill="1" applyBorder="1" applyAlignment="1">
      <alignment horizontal="center" vertical="center"/>
    </xf>
    <xf numFmtId="0" fontId="40" fillId="0" borderId="83" xfId="16" applyFont="1" applyFill="1" applyBorder="1" applyAlignment="1">
      <alignment horizontal="center" vertical="center"/>
    </xf>
    <xf numFmtId="0" fontId="40" fillId="0" borderId="90" xfId="16" applyFont="1" applyFill="1" applyBorder="1" applyAlignment="1">
      <alignment horizontal="center" vertical="center"/>
    </xf>
    <xf numFmtId="0" fontId="40" fillId="0" borderId="50" xfId="16" applyFont="1" applyFill="1" applyBorder="1" applyAlignment="1">
      <alignment horizontal="center" vertical="center"/>
    </xf>
    <xf numFmtId="229" fontId="40" fillId="5" borderId="51" xfId="1974" applyNumberFormat="1" applyFont="1" applyFill="1" applyBorder="1" applyAlignment="1">
      <alignment horizontal="center" vertical="center"/>
    </xf>
    <xf numFmtId="0" fontId="40" fillId="11" borderId="87" xfId="16" applyFont="1" applyFill="1" applyBorder="1" applyAlignment="1">
      <alignment horizontal="center" vertical="center"/>
    </xf>
    <xf numFmtId="0" fontId="40" fillId="11" borderId="88" xfId="16" applyFont="1" applyFill="1" applyBorder="1" applyAlignment="1">
      <alignment horizontal="center" vertical="center"/>
    </xf>
    <xf numFmtId="0" fontId="40" fillId="11" borderId="89" xfId="16" applyFont="1" applyFill="1" applyBorder="1" applyAlignment="1">
      <alignment horizontal="center" vertical="center"/>
    </xf>
    <xf numFmtId="0" fontId="40" fillId="11" borderId="81" xfId="16" applyFont="1" applyFill="1" applyBorder="1" applyAlignment="1">
      <alignment horizontal="center" vertical="center"/>
    </xf>
    <xf numFmtId="0" fontId="40" fillId="11" borderId="0" xfId="16" applyFont="1" applyFill="1" applyBorder="1" applyAlignment="1">
      <alignment horizontal="center" vertical="center"/>
    </xf>
    <xf numFmtId="0" fontId="40" fillId="11" borderId="83" xfId="16" applyFont="1" applyFill="1" applyBorder="1" applyAlignment="1">
      <alignment horizontal="center" vertical="center"/>
    </xf>
    <xf numFmtId="0" fontId="40" fillId="11" borderId="49" xfId="16" applyFont="1" applyFill="1" applyBorder="1" applyAlignment="1">
      <alignment horizontal="center" vertical="center"/>
    </xf>
    <xf numFmtId="0" fontId="40" fillId="11" borderId="49" xfId="16" applyFont="1" applyFill="1" applyBorder="1" applyAlignment="1">
      <alignment horizontal="center" vertical="center" wrapText="1"/>
    </xf>
    <xf numFmtId="0" fontId="10" fillId="4" borderId="19" xfId="16" applyFont="1" applyFill="1" applyBorder="1" applyAlignment="1">
      <alignment horizontal="center"/>
    </xf>
    <xf numFmtId="0" fontId="10" fillId="4" borderId="5" xfId="16" applyFont="1" applyFill="1" applyBorder="1" applyAlignment="1">
      <alignment horizontal="center"/>
    </xf>
    <xf numFmtId="0" fontId="10" fillId="4" borderId="3" xfId="16" applyFont="1" applyFill="1" applyBorder="1" applyAlignment="1">
      <alignment horizontal="center"/>
    </xf>
    <xf numFmtId="0" fontId="10" fillId="4" borderId="36" xfId="16" applyFont="1" applyFill="1" applyBorder="1" applyAlignment="1">
      <alignment horizontal="center"/>
    </xf>
    <xf numFmtId="0" fontId="10" fillId="4" borderId="38" xfId="16" applyFont="1" applyFill="1" applyBorder="1" applyAlignment="1">
      <alignment horizontal="center"/>
    </xf>
    <xf numFmtId="0" fontId="10" fillId="4" borderId="37" xfId="16" applyFont="1" applyFill="1" applyBorder="1" applyAlignment="1">
      <alignment horizontal="center"/>
    </xf>
    <xf numFmtId="0" fontId="10" fillId="4" borderId="39" xfId="16" applyFont="1" applyFill="1" applyBorder="1" applyAlignment="1">
      <alignment horizontal="center"/>
    </xf>
    <xf numFmtId="14" fontId="34" fillId="10" borderId="51" xfId="16" applyNumberFormat="1" applyFont="1" applyFill="1" applyBorder="1" applyAlignment="1">
      <alignment horizontal="center" vertical="center"/>
    </xf>
    <xf numFmtId="0" fontId="34" fillId="10" borderId="51" xfId="16" applyFont="1" applyFill="1" applyBorder="1" applyAlignment="1">
      <alignment horizontal="center" vertical="center"/>
    </xf>
    <xf numFmtId="0" fontId="34" fillId="10" borderId="90" xfId="16" applyFont="1" applyFill="1" applyBorder="1" applyAlignment="1">
      <alignment horizontal="center" vertical="center"/>
    </xf>
    <xf numFmtId="0" fontId="34" fillId="10" borderId="77" xfId="16" applyFont="1" applyFill="1" applyBorder="1" applyAlignment="1">
      <alignment horizontal="center" vertical="center"/>
    </xf>
    <xf numFmtId="0" fontId="34" fillId="10" borderId="50" xfId="16" applyFont="1" applyFill="1" applyBorder="1" applyAlignment="1">
      <alignment horizontal="center" vertical="center"/>
    </xf>
    <xf numFmtId="0" fontId="40" fillId="0" borderId="88" xfId="16" applyFont="1" applyFill="1" applyBorder="1" applyAlignment="1">
      <alignment horizontal="center" vertical="center"/>
    </xf>
    <xf numFmtId="0" fontId="40" fillId="0" borderId="77" xfId="16" applyFont="1" applyFill="1" applyBorder="1" applyAlignment="1">
      <alignment horizontal="center" vertical="center"/>
    </xf>
    <xf numFmtId="228" fontId="40" fillId="0" borderId="84" xfId="1974" applyNumberFormat="1" applyFont="1" applyFill="1" applyBorder="1" applyAlignment="1">
      <alignment horizontal="right" vertical="center"/>
    </xf>
    <xf numFmtId="228" fontId="40" fillId="0" borderId="51" xfId="1974" applyNumberFormat="1" applyFont="1" applyFill="1" applyBorder="1" applyAlignment="1">
      <alignment horizontal="right" vertical="center"/>
    </xf>
    <xf numFmtId="40" fontId="40" fillId="0" borderId="84" xfId="1974" applyNumberFormat="1" applyFont="1" applyFill="1" applyBorder="1" applyAlignment="1">
      <alignment horizontal="right" vertical="center"/>
    </xf>
    <xf numFmtId="40" fontId="40" fillId="0" borderId="51" xfId="1974" applyNumberFormat="1" applyFont="1" applyFill="1" applyBorder="1" applyAlignment="1">
      <alignment horizontal="right" vertical="center"/>
    </xf>
    <xf numFmtId="38" fontId="40" fillId="0" borderId="84" xfId="1974" applyFont="1" applyFill="1" applyBorder="1" applyAlignment="1">
      <alignment horizontal="right" vertical="center"/>
    </xf>
    <xf numFmtId="38" fontId="40" fillId="0" borderId="51" xfId="1974" applyFont="1" applyFill="1" applyBorder="1" applyAlignment="1">
      <alignment horizontal="right" vertical="center"/>
    </xf>
    <xf numFmtId="0" fontId="40" fillId="0" borderId="84" xfId="16" applyNumberFormat="1" applyFont="1" applyFill="1" applyBorder="1" applyAlignment="1">
      <alignment horizontal="right" vertical="center"/>
    </xf>
    <xf numFmtId="0" fontId="40" fillId="0" borderId="51" xfId="16" applyNumberFormat="1" applyFont="1" applyFill="1" applyBorder="1" applyAlignment="1">
      <alignment horizontal="right" vertical="center"/>
    </xf>
    <xf numFmtId="0" fontId="9" fillId="4" borderId="79" xfId="0" applyFont="1" applyFill="1" applyBorder="1" applyAlignment="1">
      <alignment horizontal="centerContinuous" vertical="center"/>
    </xf>
    <xf numFmtId="0" fontId="9" fillId="4" borderId="80" xfId="0" applyFont="1" applyFill="1" applyBorder="1" applyAlignment="1">
      <alignment horizontal="centerContinuous" vertical="center"/>
    </xf>
    <xf numFmtId="0" fontId="9" fillId="4" borderId="76" xfId="0" applyFont="1" applyFill="1" applyBorder="1" applyAlignment="1">
      <alignment horizontal="centerContinuous" vertical="center"/>
    </xf>
    <xf numFmtId="176" fontId="9" fillId="4" borderId="79" xfId="1" applyNumberFormat="1" applyFont="1" applyFill="1" applyBorder="1" applyAlignment="1">
      <alignment horizontal="center" vertical="center"/>
    </xf>
    <xf numFmtId="14" fontId="9" fillId="4" borderId="79" xfId="1" applyNumberFormat="1" applyFont="1" applyFill="1" applyBorder="1" applyAlignment="1">
      <alignment horizontal="center" vertical="center"/>
    </xf>
    <xf numFmtId="177" fontId="9" fillId="4" borderId="79" xfId="1" applyNumberFormat="1" applyFont="1" applyFill="1" applyBorder="1" applyAlignment="1">
      <alignment horizontal="center" vertical="center"/>
    </xf>
    <xf numFmtId="176" fontId="9" fillId="5" borderId="79" xfId="1" applyNumberFormat="1" applyFont="1" applyFill="1" applyBorder="1" applyAlignment="1">
      <alignment horizontal="center" vertical="center"/>
    </xf>
    <xf numFmtId="14" fontId="9" fillId="0" borderId="79" xfId="1" applyNumberFormat="1" applyFont="1" applyBorder="1" applyAlignment="1">
      <alignment horizontal="center" vertical="center"/>
    </xf>
    <xf numFmtId="177" fontId="9" fillId="0" borderId="79" xfId="1" applyNumberFormat="1" applyFont="1" applyBorder="1" applyAlignment="1">
      <alignment horizontal="center" vertical="center"/>
    </xf>
    <xf numFmtId="0" fontId="9" fillId="0" borderId="82" xfId="0" applyFont="1" applyFill="1" applyBorder="1" applyAlignment="1">
      <alignment horizontal="center" vertical="center"/>
    </xf>
    <xf numFmtId="176" fontId="9" fillId="0" borderId="79" xfId="1" applyNumberFormat="1" applyFont="1" applyBorder="1" applyAlignment="1">
      <alignment horizontal="center" vertical="center"/>
    </xf>
    <xf numFmtId="0" fontId="9" fillId="0" borderId="79" xfId="0" applyFont="1" applyFill="1" applyBorder="1" applyAlignment="1">
      <alignment horizontal="center" vertical="center"/>
    </xf>
    <xf numFmtId="176" fontId="12" fillId="0" borderId="79" xfId="1" applyNumberFormat="1" applyFont="1" applyBorder="1" applyAlignment="1">
      <alignment horizontal="center" vertical="center"/>
    </xf>
    <xf numFmtId="14" fontId="12" fillId="0" borderId="79" xfId="1" applyNumberFormat="1" applyFont="1" applyBorder="1" applyAlignment="1">
      <alignment horizontal="center" vertical="center"/>
    </xf>
    <xf numFmtId="177" fontId="12" fillId="0" borderId="79" xfId="1" applyNumberFormat="1" applyFont="1" applyBorder="1" applyAlignment="1">
      <alignment horizontal="center" vertical="center"/>
    </xf>
    <xf numFmtId="0" fontId="12" fillId="0" borderId="82" xfId="0" applyFont="1" applyFill="1" applyBorder="1" applyAlignment="1">
      <alignment horizontal="center" vertical="center"/>
    </xf>
    <xf numFmtId="49" fontId="9" fillId="3" borderId="79" xfId="1" applyNumberFormat="1" applyFont="1" applyFill="1" applyBorder="1" applyAlignment="1">
      <alignment horizontal="center" vertical="center"/>
    </xf>
    <xf numFmtId="49" fontId="9" fillId="3" borderId="80" xfId="1" applyNumberFormat="1" applyFont="1" applyFill="1" applyBorder="1" applyAlignment="1">
      <alignment horizontal="center" vertical="center"/>
    </xf>
    <xf numFmtId="49" fontId="9" fillId="3" borderId="76" xfId="1" applyNumberFormat="1" applyFont="1" applyFill="1" applyBorder="1" applyAlignment="1">
      <alignment horizontal="center" vertical="center"/>
    </xf>
    <xf numFmtId="49" fontId="9" fillId="0" borderId="79" xfId="1" applyNumberFormat="1" applyFont="1" applyFill="1" applyBorder="1" applyAlignment="1">
      <alignment horizontal="center" vertical="center"/>
    </xf>
    <xf numFmtId="49" fontId="9" fillId="0" borderId="76" xfId="1" applyNumberFormat="1" applyFont="1" applyFill="1" applyBorder="1" applyAlignment="1">
      <alignment horizontal="center" vertical="center"/>
    </xf>
    <xf numFmtId="49" fontId="9" fillId="0" borderId="79" xfId="1" applyNumberFormat="1" applyFont="1" applyFill="1" applyBorder="1" applyAlignment="1">
      <alignment horizontal="center" vertical="top"/>
    </xf>
    <xf numFmtId="0" fontId="9" fillId="0" borderId="80" xfId="1" applyFont="1" applyFill="1" applyBorder="1" applyAlignment="1">
      <alignment horizontal="center" vertical="top"/>
    </xf>
    <xf numFmtId="0" fontId="9" fillId="0" borderId="76" xfId="1" applyFont="1" applyFill="1" applyBorder="1" applyAlignment="1">
      <alignment horizontal="center" vertical="top"/>
    </xf>
    <xf numFmtId="49" fontId="9" fillId="0" borderId="79" xfId="1" applyNumberFormat="1" applyFont="1" applyFill="1" applyBorder="1" applyAlignment="1">
      <alignment vertical="top" wrapText="1"/>
    </xf>
    <xf numFmtId="49" fontId="9" fillId="0" borderId="80" xfId="1" applyNumberFormat="1" applyFont="1" applyFill="1" applyBorder="1" applyAlignment="1">
      <alignment vertical="top" wrapText="1"/>
    </xf>
    <xf numFmtId="49" fontId="9" fillId="0" borderId="76" xfId="1" applyNumberFormat="1" applyFont="1" applyFill="1" applyBorder="1" applyAlignment="1">
      <alignment vertical="top" wrapText="1"/>
    </xf>
    <xf numFmtId="49" fontId="9" fillId="0" borderId="79" xfId="1" applyNumberFormat="1" applyFont="1" applyFill="1" applyBorder="1" applyAlignment="1">
      <alignment vertical="top"/>
    </xf>
    <xf numFmtId="49" fontId="9" fillId="0" borderId="80" xfId="1" applyNumberFormat="1" applyFont="1" applyFill="1" applyBorder="1" applyAlignment="1">
      <alignment vertical="top"/>
    </xf>
    <xf numFmtId="49" fontId="9" fillId="0" borderId="76" xfId="1" applyNumberFormat="1" applyFont="1" applyFill="1" applyBorder="1" applyAlignment="1">
      <alignment vertical="top"/>
    </xf>
    <xf numFmtId="49" fontId="9" fillId="0" borderId="1" xfId="1" applyNumberFormat="1" applyFont="1" applyFill="1" applyBorder="1" applyAlignment="1">
      <alignment vertical="top"/>
    </xf>
    <xf numFmtId="0" fontId="9" fillId="4" borderId="82" xfId="0" applyFont="1" applyFill="1" applyBorder="1" applyAlignment="1">
      <alignment horizontal="center" vertical="center" wrapText="1"/>
    </xf>
    <xf numFmtId="0" fontId="9" fillId="4" borderId="80" xfId="0" applyFont="1" applyFill="1" applyBorder="1" applyAlignment="1">
      <alignment horizontal="center" vertical="center"/>
    </xf>
    <xf numFmtId="0" fontId="9" fillId="4" borderId="80" xfId="0" applyFont="1" applyFill="1" applyBorder="1" applyAlignment="1">
      <alignment horizontal="center" vertical="center" wrapText="1"/>
    </xf>
    <xf numFmtId="0" fontId="9" fillId="4" borderId="100" xfId="0" applyFont="1" applyFill="1" applyBorder="1" applyAlignment="1">
      <alignment horizontal="center" vertical="center"/>
    </xf>
    <xf numFmtId="181" fontId="9" fillId="6" borderId="76" xfId="0" quotePrefix="1" applyNumberFormat="1" applyFont="1" applyFill="1" applyBorder="1" applyAlignment="1">
      <alignment horizontal="center" vertical="center" shrinkToFit="1"/>
    </xf>
    <xf numFmtId="49" fontId="9" fillId="6" borderId="2" xfId="0" applyNumberFormat="1" applyFont="1" applyFill="1" applyBorder="1" applyAlignment="1">
      <alignment horizontal="center" vertical="center"/>
    </xf>
    <xf numFmtId="49" fontId="9" fillId="7" borderId="2" xfId="0" applyNumberFormat="1" applyFont="1" applyFill="1" applyBorder="1" applyAlignment="1">
      <alignment horizontal="center" vertical="top"/>
    </xf>
    <xf numFmtId="181" fontId="9" fillId="7" borderId="76" xfId="0" quotePrefix="1" applyNumberFormat="1" applyFont="1" applyFill="1" applyBorder="1" applyAlignment="1">
      <alignment horizontal="center" vertical="top" shrinkToFit="1"/>
    </xf>
    <xf numFmtId="49" fontId="10" fillId="4" borderId="101" xfId="0" applyNumberFormat="1" applyFont="1" applyFill="1" applyBorder="1" applyAlignment="1">
      <alignment wrapText="1"/>
    </xf>
    <xf numFmtId="0" fontId="10" fillId="4" borderId="19" xfId="0" applyFont="1" applyFill="1" applyBorder="1" applyAlignment="1">
      <alignment horizontal="left" vertical="top" wrapText="1"/>
    </xf>
    <xf numFmtId="0" fontId="10" fillId="4" borderId="80" xfId="0" applyFont="1" applyFill="1" applyBorder="1" applyAlignment="1">
      <alignment horizontal="left" vertical="top" wrapText="1"/>
    </xf>
    <xf numFmtId="0" fontId="10" fillId="4" borderId="20" xfId="0" applyFont="1" applyFill="1" applyBorder="1" applyAlignment="1">
      <alignment horizontal="left" vertical="top" wrapText="1"/>
    </xf>
    <xf numFmtId="0" fontId="223" fillId="11" borderId="40" xfId="0" applyFont="1" applyFill="1" applyBorder="1" applyAlignment="1">
      <alignment horizontal="center" vertical="center"/>
    </xf>
    <xf numFmtId="0" fontId="28" fillId="10" borderId="102" xfId="0" applyFont="1" applyFill="1" applyBorder="1" applyAlignment="1">
      <alignment horizontal="center" vertical="center"/>
    </xf>
    <xf numFmtId="0" fontId="28" fillId="10" borderId="100" xfId="0" applyFont="1" applyFill="1" applyBorder="1" applyAlignment="1">
      <alignment horizontal="center" vertical="center"/>
    </xf>
    <xf numFmtId="0" fontId="13" fillId="0" borderId="0" xfId="0" applyFont="1">
      <alignment vertical="center"/>
    </xf>
    <xf numFmtId="49" fontId="10" fillId="4" borderId="15" xfId="0" applyNumberFormat="1" applyFont="1" applyFill="1" applyBorder="1" applyAlignment="1">
      <alignment wrapText="1"/>
    </xf>
    <xf numFmtId="49" fontId="10" fillId="4" borderId="15" xfId="0" applyNumberFormat="1" applyFont="1" applyFill="1" applyBorder="1" applyAlignment="1">
      <alignment horizontal="center" wrapText="1"/>
    </xf>
    <xf numFmtId="0" fontId="10" fillId="4" borderId="19" xfId="0" applyFont="1" applyFill="1" applyBorder="1" applyAlignment="1">
      <alignment horizontal="center"/>
    </xf>
    <xf numFmtId="0" fontId="10" fillId="4" borderId="76" xfId="0" applyFont="1" applyFill="1" applyBorder="1" applyAlignment="1">
      <alignment horizontal="center"/>
    </xf>
    <xf numFmtId="0" fontId="10" fillId="4" borderId="79" xfId="0" applyFont="1" applyFill="1" applyBorder="1" applyAlignment="1">
      <alignment horizontal="center"/>
    </xf>
    <xf numFmtId="0" fontId="10" fillId="4" borderId="101" xfId="0" applyFont="1" applyFill="1" applyBorder="1" applyAlignment="1"/>
    <xf numFmtId="0" fontId="28" fillId="10" borderId="40" xfId="0" applyFont="1" applyFill="1" applyBorder="1" applyAlignment="1">
      <alignment horizontal="center" vertical="center"/>
    </xf>
    <xf numFmtId="0" fontId="28" fillId="10" borderId="16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/>
    </xf>
    <xf numFmtId="0" fontId="10" fillId="4" borderId="99" xfId="0" applyFont="1" applyFill="1" applyBorder="1" applyAlignment="1">
      <alignment horizontal="center"/>
    </xf>
    <xf numFmtId="0" fontId="10" fillId="4" borderId="15" xfId="0" applyFont="1" applyFill="1" applyBorder="1" applyAlignment="1"/>
    <xf numFmtId="0" fontId="10" fillId="4" borderId="36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49" fontId="10" fillId="4" borderId="17" xfId="0" applyNumberFormat="1" applyFont="1" applyFill="1" applyBorder="1" applyAlignment="1">
      <alignment horizontal="center" wrapText="1"/>
    </xf>
    <xf numFmtId="0" fontId="10" fillId="4" borderId="38" xfId="0" applyFont="1" applyFill="1" applyBorder="1" applyAlignment="1">
      <alignment horizontal="center"/>
    </xf>
    <xf numFmtId="0" fontId="10" fillId="4" borderId="39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223" fillId="11" borderId="103" xfId="0" applyFont="1" applyFill="1" applyBorder="1" applyAlignment="1">
      <alignment horizontal="center" vertical="center"/>
    </xf>
    <xf numFmtId="0" fontId="28" fillId="10" borderId="103" xfId="0" applyFont="1" applyFill="1" applyBorder="1" applyAlignment="1">
      <alignment horizontal="center" vertical="center"/>
    </xf>
    <xf numFmtId="0" fontId="28" fillId="10" borderId="18" xfId="0" applyFont="1" applyFill="1" applyBorder="1" applyAlignment="1">
      <alignment horizontal="center" vertical="center"/>
    </xf>
    <xf numFmtId="182" fontId="10" fillId="5" borderId="79" xfId="0" applyNumberFormat="1" applyFont="1" applyFill="1" applyBorder="1" applyAlignment="1">
      <alignment horizontal="center" vertical="center"/>
    </xf>
    <xf numFmtId="0" fontId="10" fillId="5" borderId="79" xfId="0" applyFont="1" applyFill="1" applyBorder="1" applyAlignment="1">
      <alignment horizontal="center" vertical="center"/>
    </xf>
    <xf numFmtId="0" fontId="10" fillId="5" borderId="19" xfId="0" applyFont="1" applyFill="1" applyBorder="1" applyAlignment="1">
      <alignment horizontal="center" vertical="center"/>
    </xf>
    <xf numFmtId="181" fontId="10" fillId="5" borderId="79" xfId="0" quotePrefix="1" applyNumberFormat="1" applyFont="1" applyFill="1" applyBorder="1" applyAlignment="1">
      <alignment horizontal="center" vertical="center"/>
    </xf>
    <xf numFmtId="181" fontId="10" fillId="5" borderId="79" xfId="0" applyNumberFormat="1" applyFont="1" applyFill="1" applyBorder="1" applyAlignment="1">
      <alignment horizontal="center" vertical="center"/>
    </xf>
    <xf numFmtId="0" fontId="223" fillId="5" borderId="19" xfId="0" applyFont="1" applyFill="1" applyBorder="1" applyAlignment="1">
      <alignment horizontal="left" vertical="center" wrapText="1"/>
    </xf>
    <xf numFmtId="0" fontId="10" fillId="5" borderId="19" xfId="0" applyFont="1" applyFill="1" applyBorder="1" applyAlignment="1">
      <alignment horizontal="left" vertical="center" indent="1"/>
    </xf>
    <xf numFmtId="0" fontId="10" fillId="5" borderId="76" xfId="0" applyFont="1" applyFill="1" applyBorder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left" vertical="top"/>
    </xf>
    <xf numFmtId="0" fontId="10" fillId="0" borderId="0" xfId="0" applyFont="1" applyFill="1" applyAlignment="1">
      <alignment vertical="center"/>
    </xf>
    <xf numFmtId="0" fontId="10" fillId="4" borderId="102" xfId="0" applyFont="1" applyFill="1" applyBorder="1" applyAlignment="1">
      <alignment horizontal="center" vertical="center" wrapText="1"/>
    </xf>
    <xf numFmtId="0" fontId="10" fillId="4" borderId="104" xfId="0" applyFont="1" applyFill="1" applyBorder="1" applyAlignment="1">
      <alignment horizontal="center" vertical="center" wrapText="1"/>
    </xf>
    <xf numFmtId="0" fontId="10" fillId="4" borderId="105" xfId="0" applyFont="1" applyFill="1" applyBorder="1" applyAlignment="1">
      <alignment horizontal="center" vertical="center" wrapText="1"/>
    </xf>
    <xf numFmtId="0" fontId="223" fillId="11" borderId="0" xfId="0" applyFont="1" applyFill="1" applyBorder="1" applyAlignment="1">
      <alignment horizontal="center" vertical="center"/>
    </xf>
    <xf numFmtId="0" fontId="223" fillId="11" borderId="106" xfId="0" applyFont="1" applyFill="1" applyBorder="1" applyAlignment="1">
      <alignment horizontal="center" vertical="center"/>
    </xf>
    <xf numFmtId="0" fontId="28" fillId="10" borderId="104" xfId="0" applyFont="1" applyFill="1" applyBorder="1" applyAlignment="1">
      <alignment horizontal="center" vertical="center"/>
    </xf>
    <xf numFmtId="0" fontId="10" fillId="4" borderId="10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107" xfId="0" applyFont="1" applyFill="1" applyBorder="1" applyAlignment="1">
      <alignment horizontal="center" vertical="center" wrapText="1"/>
    </xf>
    <xf numFmtId="0" fontId="28" fillId="10" borderId="108" xfId="0" applyFont="1" applyFill="1" applyBorder="1" applyAlignment="1">
      <alignment horizontal="center" vertical="center"/>
    </xf>
    <xf numFmtId="0" fontId="28" fillId="10" borderId="109" xfId="0" applyFont="1" applyFill="1" applyBorder="1" applyAlignment="1">
      <alignment horizontal="center" vertical="center"/>
    </xf>
    <xf numFmtId="0" fontId="28" fillId="10" borderId="110" xfId="0" applyFont="1" applyFill="1" applyBorder="1" applyAlignment="1">
      <alignment horizontal="center" vertical="center"/>
    </xf>
    <xf numFmtId="0" fontId="28" fillId="10" borderId="111" xfId="0" applyFont="1" applyFill="1" applyBorder="1" applyAlignment="1">
      <alignment horizontal="center" vertical="center"/>
    </xf>
    <xf numFmtId="0" fontId="28" fillId="10" borderId="112" xfId="0" applyFont="1" applyFill="1" applyBorder="1" applyAlignment="1">
      <alignment horizontal="center" vertical="center"/>
    </xf>
    <xf numFmtId="0" fontId="28" fillId="10" borderId="113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28" fillId="10" borderId="115" xfId="0" applyFont="1" applyFill="1" applyBorder="1" applyAlignment="1">
      <alignment horizontal="center" vertical="center"/>
    </xf>
    <xf numFmtId="0" fontId="28" fillId="10" borderId="116" xfId="0" applyFont="1" applyFill="1" applyBorder="1" applyAlignment="1">
      <alignment horizontal="center" vertical="center"/>
    </xf>
    <xf numFmtId="0" fontId="28" fillId="10" borderId="117" xfId="0" applyFont="1" applyFill="1" applyBorder="1" applyAlignment="1">
      <alignment horizontal="center" vertical="center"/>
    </xf>
    <xf numFmtId="0" fontId="28" fillId="10" borderId="118" xfId="0" applyFont="1" applyFill="1" applyBorder="1" applyAlignment="1">
      <alignment horizontal="center" vertical="center"/>
    </xf>
    <xf numFmtId="0" fontId="28" fillId="10" borderId="119" xfId="0" applyFont="1" applyFill="1" applyBorder="1" applyAlignment="1">
      <alignment horizontal="center" vertical="center"/>
    </xf>
    <xf numFmtId="0" fontId="28" fillId="10" borderId="0" xfId="0" applyFont="1" applyFill="1" applyBorder="1" applyAlignment="1">
      <alignment horizontal="center" vertical="center"/>
    </xf>
    <xf numFmtId="0" fontId="28" fillId="10" borderId="120" xfId="0" applyFont="1" applyFill="1" applyBorder="1" applyAlignment="1">
      <alignment horizontal="center" vertical="center"/>
    </xf>
    <xf numFmtId="0" fontId="28" fillId="10" borderId="121" xfId="0" applyFont="1" applyFill="1" applyBorder="1" applyAlignment="1">
      <alignment horizontal="center" vertical="center"/>
    </xf>
    <xf numFmtId="0" fontId="28" fillId="10" borderId="122" xfId="0" applyFont="1" applyFill="1" applyBorder="1" applyAlignment="1">
      <alignment horizontal="center" vertical="center"/>
    </xf>
    <xf numFmtId="0" fontId="28" fillId="10" borderId="123" xfId="0" applyFont="1" applyFill="1" applyBorder="1" applyAlignment="1">
      <alignment horizontal="center" vertical="center"/>
    </xf>
    <xf numFmtId="0" fontId="28" fillId="10" borderId="124" xfId="0" applyFont="1" applyFill="1" applyBorder="1" applyAlignment="1">
      <alignment horizontal="center" vertical="center"/>
    </xf>
    <xf numFmtId="0" fontId="223" fillId="11" borderId="54" xfId="0" applyFont="1" applyFill="1" applyBorder="1" applyAlignment="1">
      <alignment horizontal="center" vertical="center"/>
    </xf>
    <xf numFmtId="0" fontId="223" fillId="11" borderId="107" xfId="0" applyFont="1" applyFill="1" applyBorder="1" applyAlignment="1">
      <alignment horizontal="center" vertical="center"/>
    </xf>
    <xf numFmtId="0" fontId="28" fillId="10" borderId="125" xfId="0" applyFont="1" applyFill="1" applyBorder="1" applyAlignment="1">
      <alignment horizontal="center" vertical="center"/>
    </xf>
    <xf numFmtId="0" fontId="28" fillId="10" borderId="126" xfId="0" applyFont="1" applyFill="1" applyBorder="1" applyAlignment="1">
      <alignment horizontal="center" vertical="center"/>
    </xf>
    <xf numFmtId="0" fontId="28" fillId="10" borderId="127" xfId="0" applyFont="1" applyFill="1" applyBorder="1" applyAlignment="1">
      <alignment horizontal="center" vertical="center"/>
    </xf>
    <xf numFmtId="0" fontId="28" fillId="10" borderId="128" xfId="0" applyFont="1" applyFill="1" applyBorder="1" applyAlignment="1">
      <alignment horizontal="center" vertical="center"/>
    </xf>
    <xf numFmtId="0" fontId="28" fillId="10" borderId="129" xfId="0" applyFont="1" applyFill="1" applyBorder="1" applyAlignment="1">
      <alignment horizontal="center" vertical="center"/>
    </xf>
    <xf numFmtId="0" fontId="223" fillId="5" borderId="102" xfId="0" applyFont="1" applyFill="1" applyBorder="1" applyAlignment="1">
      <alignment horizontal="left" vertical="center"/>
    </xf>
    <xf numFmtId="0" fontId="0" fillId="5" borderId="80" xfId="0" applyFont="1" applyFill="1" applyBorder="1" applyAlignment="1">
      <alignment horizontal="center" vertical="center"/>
    </xf>
    <xf numFmtId="0" fontId="0" fillId="5" borderId="20" xfId="0" applyFont="1" applyFill="1" applyBorder="1" applyAlignment="1">
      <alignment horizontal="center" vertical="center"/>
    </xf>
    <xf numFmtId="0" fontId="10" fillId="5" borderId="130" xfId="0" applyFont="1" applyFill="1" applyBorder="1" applyAlignment="1">
      <alignment horizontal="center" vertical="center"/>
    </xf>
    <xf numFmtId="0" fontId="10" fillId="5" borderId="131" xfId="0" applyFont="1" applyFill="1" applyBorder="1" applyAlignment="1">
      <alignment horizontal="center" vertical="center"/>
    </xf>
    <xf numFmtId="0" fontId="10" fillId="5" borderId="132" xfId="0" applyFont="1" applyFill="1" applyBorder="1" applyAlignment="1">
      <alignment horizontal="center" vertical="center"/>
    </xf>
    <xf numFmtId="0" fontId="10" fillId="5" borderId="131" xfId="0" applyFont="1" applyFill="1" applyBorder="1" applyAlignment="1">
      <alignment horizontal="center" vertical="center"/>
    </xf>
    <xf numFmtId="0" fontId="10" fillId="5" borderId="132" xfId="0" applyFont="1" applyFill="1" applyBorder="1" applyAlignment="1">
      <alignment horizontal="center" vertical="center"/>
    </xf>
    <xf numFmtId="0" fontId="10" fillId="5" borderId="133" xfId="0" applyFont="1" applyFill="1" applyBorder="1" applyAlignment="1">
      <alignment horizontal="center" vertical="center"/>
    </xf>
    <xf numFmtId="0" fontId="223" fillId="5" borderId="36" xfId="0" applyFont="1" applyFill="1" applyBorder="1" applyAlignment="1">
      <alignment horizontal="left" vertical="center"/>
    </xf>
    <xf numFmtId="0" fontId="0" fillId="5" borderId="101" xfId="0" applyFont="1" applyFill="1" applyBorder="1" applyAlignment="1">
      <alignment horizontal="left" vertical="center"/>
    </xf>
    <xf numFmtId="0" fontId="10" fillId="5" borderId="79" xfId="0" applyFont="1" applyFill="1" applyBorder="1" applyAlignment="1">
      <alignment horizontal="center" vertical="center"/>
    </xf>
    <xf numFmtId="0" fontId="10" fillId="5" borderId="80" xfId="0" applyFont="1" applyFill="1" applyBorder="1" applyAlignment="1">
      <alignment horizontal="center" vertical="center"/>
    </xf>
    <xf numFmtId="0" fontId="10" fillId="5" borderId="76" xfId="0" applyFont="1" applyFill="1" applyBorder="1" applyAlignment="1">
      <alignment horizontal="center" vertical="center"/>
    </xf>
    <xf numFmtId="0" fontId="10" fillId="0" borderId="131" xfId="0" applyFont="1" applyFill="1" applyBorder="1" applyAlignment="1">
      <alignment horizontal="center" vertical="center"/>
    </xf>
    <xf numFmtId="0" fontId="10" fillId="0" borderId="13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left" vertical="center"/>
    </xf>
    <xf numFmtId="0" fontId="10" fillId="0" borderId="131" xfId="0" quotePrefix="1" applyFont="1" applyFill="1" applyBorder="1" applyAlignment="1">
      <alignment horizontal="center" vertical="center"/>
    </xf>
    <xf numFmtId="9" fontId="10" fillId="5" borderId="79" xfId="0" applyNumberFormat="1" applyFont="1" applyFill="1" applyBorder="1" applyAlignment="1">
      <alignment horizontal="center" vertical="center"/>
    </xf>
    <xf numFmtId="9" fontId="10" fillId="5" borderId="80" xfId="0" applyNumberFormat="1" applyFont="1" applyFill="1" applyBorder="1" applyAlignment="1">
      <alignment horizontal="center" vertical="center"/>
    </xf>
    <xf numFmtId="9" fontId="10" fillId="5" borderId="76" xfId="0" applyNumberFormat="1" applyFont="1" applyFill="1" applyBorder="1" applyAlignment="1">
      <alignment horizontal="center" vertical="center"/>
    </xf>
    <xf numFmtId="0" fontId="223" fillId="5" borderId="40" xfId="0" applyFont="1" applyFill="1" applyBorder="1" applyAlignment="1">
      <alignment horizontal="left" vertical="center"/>
    </xf>
    <xf numFmtId="0" fontId="0" fillId="5" borderId="15" xfId="0" applyFont="1" applyFill="1" applyBorder="1" applyAlignment="1">
      <alignment horizontal="left" vertical="center"/>
    </xf>
    <xf numFmtId="0" fontId="0" fillId="5" borderId="79" xfId="0" applyFont="1" applyFill="1" applyBorder="1" applyAlignment="1">
      <alignment horizontal="left" vertical="center"/>
    </xf>
    <xf numFmtId="0" fontId="0" fillId="5" borderId="20" xfId="0" applyFont="1" applyFill="1" applyBorder="1" applyAlignment="1">
      <alignment horizontal="left" vertical="center"/>
    </xf>
    <xf numFmtId="0" fontId="0" fillId="5" borderId="17" xfId="0" applyFont="1" applyFill="1" applyBorder="1" applyAlignment="1">
      <alignment horizontal="left" vertical="center"/>
    </xf>
    <xf numFmtId="0" fontId="224" fillId="5" borderId="133" xfId="0" quotePrefix="1" applyFont="1" applyFill="1" applyBorder="1" applyAlignment="1">
      <alignment horizontal="center" vertical="center"/>
    </xf>
    <xf numFmtId="0" fontId="224" fillId="5" borderId="133" xfId="0" applyFont="1" applyFill="1" applyBorder="1" applyAlignment="1">
      <alignment horizontal="center" vertical="center"/>
    </xf>
    <xf numFmtId="0" fontId="225" fillId="5" borderId="132" xfId="0" quotePrefix="1" applyFont="1" applyFill="1" applyBorder="1" applyAlignment="1">
      <alignment horizontal="center" vertical="center"/>
    </xf>
    <xf numFmtId="0" fontId="225" fillId="5" borderId="133" xfId="0" applyFont="1" applyFill="1" applyBorder="1" applyAlignment="1">
      <alignment horizontal="center" vertical="center"/>
    </xf>
    <xf numFmtId="0" fontId="223" fillId="5" borderId="103" xfId="0" applyFont="1" applyFill="1" applyBorder="1" applyAlignment="1">
      <alignment horizontal="center" vertical="center"/>
    </xf>
    <xf numFmtId="0" fontId="223" fillId="11" borderId="102" xfId="0" applyFont="1" applyFill="1" applyBorder="1" applyAlignment="1">
      <alignment horizontal="center" vertical="center"/>
    </xf>
    <xf numFmtId="0" fontId="223" fillId="11" borderId="104" xfId="0" applyFont="1" applyFill="1" applyBorder="1" applyAlignment="1">
      <alignment horizontal="center" vertical="center"/>
    </xf>
    <xf numFmtId="0" fontId="223" fillId="11" borderId="135" xfId="0" applyFont="1" applyFill="1" applyBorder="1" applyAlignment="1">
      <alignment horizontal="center" vertical="center"/>
    </xf>
    <xf numFmtId="0" fontId="223" fillId="11" borderId="41" xfId="0" applyFont="1" applyFill="1" applyBorder="1" applyAlignment="1">
      <alignment horizontal="center" vertical="center" textRotation="255"/>
    </xf>
    <xf numFmtId="0" fontId="223" fillId="11" borderId="85" xfId="0" applyFont="1" applyFill="1" applyBorder="1" applyAlignment="1">
      <alignment horizontal="center" vertical="center" textRotation="255"/>
    </xf>
    <xf numFmtId="0" fontId="223" fillId="11" borderId="136" xfId="0" applyFont="1" applyFill="1" applyBorder="1" applyAlignment="1">
      <alignment horizontal="center" vertical="center" textRotation="255"/>
    </xf>
    <xf numFmtId="0" fontId="0" fillId="0" borderId="34" xfId="0" applyFont="1" applyBorder="1" applyAlignment="1">
      <alignment horizontal="center" vertical="center"/>
    </xf>
    <xf numFmtId="0" fontId="0" fillId="0" borderId="122" xfId="0" applyFont="1" applyBorder="1" applyAlignment="1">
      <alignment horizontal="center" vertical="center"/>
    </xf>
    <xf numFmtId="0" fontId="10" fillId="5" borderId="40" xfId="0" applyFont="1" applyFill="1" applyBorder="1" applyAlignment="1">
      <alignment horizontal="left" vertical="center" indent="1"/>
    </xf>
    <xf numFmtId="0" fontId="10" fillId="5" borderId="0" xfId="0" applyFont="1" applyFill="1" applyBorder="1" applyAlignment="1">
      <alignment horizontal="left" vertical="top"/>
    </xf>
    <xf numFmtId="0" fontId="28" fillId="5" borderId="40" xfId="0" applyFont="1" applyFill="1" applyBorder="1" applyAlignment="1">
      <alignment vertical="top" wrapText="1"/>
    </xf>
    <xf numFmtId="0" fontId="13" fillId="5" borderId="0" xfId="0" applyFont="1" applyFill="1" applyBorder="1">
      <alignment vertical="center"/>
    </xf>
    <xf numFmtId="0" fontId="10" fillId="5" borderId="40" xfId="0" applyFont="1" applyFill="1" applyBorder="1" applyAlignment="1">
      <alignment vertical="top" wrapText="1"/>
    </xf>
    <xf numFmtId="0" fontId="34" fillId="10" borderId="81" xfId="16" applyFont="1" applyFill="1" applyBorder="1" applyAlignment="1">
      <alignment horizontal="center" vertical="center"/>
    </xf>
    <xf numFmtId="0" fontId="34" fillId="10" borderId="0" xfId="16" applyFont="1" applyFill="1" applyBorder="1" applyAlignment="1">
      <alignment horizontal="center" vertical="center"/>
    </xf>
    <xf numFmtId="0" fontId="34" fillId="10" borderId="83" xfId="16" applyFont="1" applyFill="1" applyBorder="1" applyAlignment="1">
      <alignment horizontal="center" vertical="center"/>
    </xf>
    <xf numFmtId="14" fontId="34" fillId="10" borderId="85" xfId="16" applyNumberFormat="1" applyFont="1" applyFill="1" applyBorder="1" applyAlignment="1">
      <alignment horizontal="center" vertical="center"/>
    </xf>
    <xf numFmtId="14" fontId="34" fillId="10" borderId="85" xfId="16" applyNumberFormat="1" applyFont="1" applyFill="1" applyBorder="1" applyAlignment="1">
      <alignment horizontal="center" vertical="center" wrapText="1"/>
    </xf>
    <xf numFmtId="0" fontId="30" fillId="11" borderId="87" xfId="16" applyNumberFormat="1" applyFont="1" applyFill="1" applyBorder="1" applyAlignment="1">
      <alignment horizontal="center" vertical="center"/>
    </xf>
    <xf numFmtId="0" fontId="30" fillId="11" borderId="88" xfId="16" applyNumberFormat="1" applyFont="1" applyFill="1" applyBorder="1" applyAlignment="1">
      <alignment horizontal="center" vertical="center"/>
    </xf>
    <xf numFmtId="14" fontId="30" fillId="11" borderId="88" xfId="0" applyNumberFormat="1" applyFont="1" applyFill="1" applyBorder="1" applyAlignment="1">
      <alignment horizontal="center" vertical="center"/>
    </xf>
    <xf numFmtId="0" fontId="14" fillId="11" borderId="137" xfId="16" applyFont="1" applyFill="1" applyBorder="1" applyAlignment="1">
      <alignment vertical="center"/>
    </xf>
    <xf numFmtId="0" fontId="30" fillId="11" borderId="90" xfId="16" applyNumberFormat="1" applyFont="1" applyFill="1" applyBorder="1" applyAlignment="1">
      <alignment horizontal="center" vertical="center"/>
    </xf>
    <xf numFmtId="0" fontId="30" fillId="11" borderId="77" xfId="16" applyNumberFormat="1" applyFont="1" applyFill="1" applyBorder="1" applyAlignment="1">
      <alignment horizontal="center" vertical="center"/>
    </xf>
    <xf numFmtId="14" fontId="30" fillId="11" borderId="77" xfId="0" applyNumberFormat="1" applyFont="1" applyFill="1" applyBorder="1" applyAlignment="1">
      <alignment horizontal="center" vertical="center"/>
    </xf>
    <xf numFmtId="0" fontId="9" fillId="0" borderId="77" xfId="16" applyFont="1" applyFill="1" applyBorder="1" applyAlignment="1">
      <alignment vertical="center"/>
    </xf>
    <xf numFmtId="212" fontId="10" fillId="5" borderId="79" xfId="0" applyNumberFormat="1" applyFont="1" applyFill="1" applyBorder="1" applyAlignment="1">
      <alignment horizontal="center" vertical="center"/>
    </xf>
    <xf numFmtId="212" fontId="10" fillId="5" borderId="80" xfId="0" applyNumberFormat="1" applyFont="1" applyFill="1" applyBorder="1" applyAlignment="1">
      <alignment horizontal="center" vertical="center"/>
    </xf>
    <xf numFmtId="212" fontId="10" fillId="5" borderId="76" xfId="0" applyNumberFormat="1" applyFont="1" applyFill="1" applyBorder="1" applyAlignment="1">
      <alignment horizontal="center" vertical="center"/>
    </xf>
    <xf numFmtId="0" fontId="224" fillId="5" borderId="79" xfId="0" quotePrefix="1" applyFont="1" applyFill="1" applyBorder="1" applyAlignment="1">
      <alignment horizontal="center" vertical="center"/>
    </xf>
    <xf numFmtId="0" fontId="224" fillId="5" borderId="80" xfId="0" applyFont="1" applyFill="1" applyBorder="1" applyAlignment="1">
      <alignment horizontal="center" vertical="center"/>
    </xf>
    <xf numFmtId="0" fontId="224" fillId="5" borderId="76" xfId="0" applyFont="1" applyFill="1" applyBorder="1" applyAlignment="1">
      <alignment horizontal="center" vertical="center"/>
    </xf>
    <xf numFmtId="0" fontId="0" fillId="0" borderId="78" xfId="0" applyFont="1" applyBorder="1" applyAlignment="1">
      <alignment horizontal="center" vertical="center"/>
    </xf>
    <xf numFmtId="0" fontId="223" fillId="57" borderId="138" xfId="0" applyFont="1" applyFill="1" applyBorder="1" applyAlignment="1">
      <alignment horizontal="center" vertical="center" wrapText="1"/>
    </xf>
    <xf numFmtId="0" fontId="223" fillId="57" borderId="139" xfId="0" applyFont="1" applyFill="1" applyBorder="1" applyAlignment="1">
      <alignment horizontal="center" vertical="center" wrapText="1"/>
    </xf>
    <xf numFmtId="0" fontId="223" fillId="57" borderId="141" xfId="0" applyFont="1" applyFill="1" applyBorder="1" applyAlignment="1">
      <alignment horizontal="center" vertical="center" wrapText="1"/>
    </xf>
    <xf numFmtId="0" fontId="0" fillId="0" borderId="140" xfId="0" applyFont="1" applyBorder="1" applyAlignment="1">
      <alignment horizontal="left" vertical="center"/>
    </xf>
    <xf numFmtId="0" fontId="0" fillId="0" borderId="140" xfId="0" applyFont="1" applyBorder="1" applyAlignment="1">
      <alignment horizontal="left" vertical="center" wrapText="1"/>
    </xf>
    <xf numFmtId="0" fontId="10" fillId="0" borderId="0" xfId="0" applyFont="1" applyFill="1" applyAlignment="1">
      <alignment horizontal="left" vertical="center"/>
    </xf>
    <xf numFmtId="0" fontId="223" fillId="11" borderId="134" xfId="0" applyFont="1" applyFill="1" applyBorder="1" applyAlignment="1">
      <alignment horizontal="center" vertical="center" wrapText="1"/>
    </xf>
    <xf numFmtId="0" fontId="223" fillId="11" borderId="86" xfId="0" applyFont="1" applyFill="1" applyBorder="1" applyAlignment="1">
      <alignment horizontal="center" vertical="center"/>
    </xf>
    <xf numFmtId="0" fontId="223" fillId="11" borderId="84" xfId="0" applyFont="1" applyFill="1" applyBorder="1" applyAlignment="1">
      <alignment horizontal="center" vertical="center" textRotation="255"/>
    </xf>
    <xf numFmtId="0" fontId="223" fillId="11" borderId="142" xfId="0" applyFont="1" applyFill="1" applyBorder="1" applyAlignment="1">
      <alignment horizontal="center" vertical="center"/>
    </xf>
    <xf numFmtId="0" fontId="10" fillId="4" borderId="44" xfId="16" applyFont="1" applyFill="1" applyBorder="1" applyAlignment="1">
      <alignment horizontal="center"/>
    </xf>
    <xf numFmtId="182" fontId="10" fillId="8" borderId="27" xfId="16" applyNumberFormat="1" applyFont="1" applyFill="1" applyBorder="1" applyAlignment="1">
      <alignment horizontal="center" vertical="center"/>
    </xf>
    <xf numFmtId="0" fontId="223" fillId="11" borderId="143" xfId="0" applyFont="1" applyFill="1" applyBorder="1" applyAlignment="1">
      <alignment horizontal="center" vertical="center" wrapText="1"/>
    </xf>
    <xf numFmtId="0" fontId="223" fillId="11" borderId="144" xfId="0" applyFont="1" applyFill="1" applyBorder="1" applyAlignment="1">
      <alignment horizontal="center" vertical="center" wrapText="1"/>
    </xf>
    <xf numFmtId="0" fontId="223" fillId="11" borderId="145" xfId="0" applyFont="1" applyFill="1" applyBorder="1" applyAlignment="1">
      <alignment horizontal="center" vertical="center" wrapText="1"/>
    </xf>
    <xf numFmtId="0" fontId="0" fillId="0" borderId="78" xfId="0" applyFont="1" applyBorder="1" applyAlignment="1">
      <alignment horizontal="left" vertical="center" wrapText="1"/>
    </xf>
    <xf numFmtId="0" fontId="0" fillId="0" borderId="78" xfId="0" applyFont="1" applyBorder="1" applyAlignment="1">
      <alignment horizontal="left" vertical="center"/>
    </xf>
    <xf numFmtId="38" fontId="30" fillId="11" borderId="89" xfId="1974" applyFont="1" applyFill="1" applyBorder="1" applyAlignment="1">
      <alignment horizontal="right" vertical="center"/>
    </xf>
    <xf numFmtId="38" fontId="30" fillId="11" borderId="50" xfId="1974" applyFont="1" applyFill="1" applyBorder="1" applyAlignment="1">
      <alignment horizontal="right" vertical="center"/>
    </xf>
    <xf numFmtId="14" fontId="30" fillId="11" borderId="87" xfId="0" applyNumberFormat="1" applyFont="1" applyFill="1" applyBorder="1" applyAlignment="1">
      <alignment horizontal="center" vertical="center"/>
    </xf>
    <xf numFmtId="14" fontId="30" fillId="11" borderId="90" xfId="0" applyNumberFormat="1" applyFont="1" applyFill="1" applyBorder="1" applyAlignment="1">
      <alignment horizontal="center" vertical="center"/>
    </xf>
    <xf numFmtId="0" fontId="30" fillId="11" borderId="89" xfId="1974" applyNumberFormat="1" applyFont="1" applyFill="1" applyBorder="1" applyAlignment="1">
      <alignment horizontal="right" vertical="center"/>
    </xf>
    <xf numFmtId="0" fontId="30" fillId="11" borderId="50" xfId="1974" applyNumberFormat="1" applyFont="1" applyFill="1" applyBorder="1" applyAlignment="1">
      <alignment horizontal="right" vertical="center"/>
    </xf>
  </cellXfs>
  <cellStyles count="11657">
    <cellStyle name="_x000c_ーセン_x000c_" xfId="17"/>
    <cellStyle name="_x000d__x000a_JournalTemplate=C:\COMFO\CTALK\JOURSTD.TPL_x000d__x000a_LbStateAddress=3 3 0 251 1 89 2 311_x000d__x000a_LbStateJou" xfId="18"/>
    <cellStyle name="####" xfId="19"/>
    <cellStyle name="#### 2" xfId="20"/>
    <cellStyle name="#### 2 2" xfId="21"/>
    <cellStyle name="#### 2 3" xfId="22"/>
    <cellStyle name="=C:\WINNT\SYSTEM32\COMMAND.COM" xfId="23"/>
    <cellStyle name="\|IEEnCp[N" xfId="24"/>
    <cellStyle name="\¦ÏÝÌnCp[N" xfId="25"/>
    <cellStyle name="nCp[N" xfId="26"/>
    <cellStyle name="Wdl" xfId="27"/>
    <cellStyle name="0%" xfId="28"/>
    <cellStyle name="0% 10" xfId="29"/>
    <cellStyle name="0% 11" xfId="30"/>
    <cellStyle name="0% 2" xfId="31"/>
    <cellStyle name="0% 3" xfId="32"/>
    <cellStyle name="0% 4" xfId="33"/>
    <cellStyle name="0% 5" xfId="34"/>
    <cellStyle name="0% 6" xfId="35"/>
    <cellStyle name="0% 7" xfId="36"/>
    <cellStyle name="0% 8" xfId="37"/>
    <cellStyle name="0% 9" xfId="38"/>
    <cellStyle name="0,0_x000d__x000a_NA_x000d__x000a_" xfId="39"/>
    <cellStyle name="0.0%" xfId="40"/>
    <cellStyle name="0.00%" xfId="41"/>
    <cellStyle name="0000" xfId="42"/>
    <cellStyle name="１" xfId="43"/>
    <cellStyle name="１_メールアドレス使用文字" xfId="44"/>
    <cellStyle name="１_メールアドレス使用文字 2" xfId="45"/>
    <cellStyle name="１_外為証拠金　システム間接続仕様書" xfId="46"/>
    <cellStyle name="10p,表組,m" xfId="47"/>
    <cellStyle name="10p,表組,m 2" xfId="48"/>
    <cellStyle name="10p,表組,m 2 2" xfId="49"/>
    <cellStyle name="10p,表組,m 2 2 2" xfId="4577"/>
    <cellStyle name="10p,表組,m 2 2 2 2" xfId="7972"/>
    <cellStyle name="10p,表組,m 2 2 2 3" xfId="11651"/>
    <cellStyle name="10p,表組,m 2 2 3" xfId="2343"/>
    <cellStyle name="10p,表組,m 2 2 3 2" xfId="11643"/>
    <cellStyle name="10p,表組,m 2 2 4" xfId="11559"/>
    <cellStyle name="10p,表組,m 2 3" xfId="2203"/>
    <cellStyle name="10p,表組,m 2 3 2" xfId="6868"/>
    <cellStyle name="10p,表組,m 2 3 3" xfId="11639"/>
    <cellStyle name="10p,表組,m 2 4" xfId="4480"/>
    <cellStyle name="10p,表組,m 2 4 2" xfId="7964"/>
    <cellStyle name="10p,表組,m 2 4 3" xfId="11647"/>
    <cellStyle name="10p,表組,m 2 5" xfId="6752"/>
    <cellStyle name="10p,表組,m 2 5 2" xfId="11655"/>
    <cellStyle name="10p,表組,m 2 6" xfId="1979"/>
    <cellStyle name="10p,表組,m 2 6 2" xfId="11572"/>
    <cellStyle name="10p,表組,m 2 7" xfId="11558"/>
    <cellStyle name="10p,表組,m 3" xfId="50"/>
    <cellStyle name="10p,表組,m 3 2" xfId="4576"/>
    <cellStyle name="10p,表組,m 3 2 2" xfId="7971"/>
    <cellStyle name="10p,表組,m 3 2 3" xfId="11650"/>
    <cellStyle name="10p,表組,m 3 3" xfId="2342"/>
    <cellStyle name="10p,表組,m 3 3 2" xfId="11642"/>
    <cellStyle name="10p,表組,m 3 4" xfId="11560"/>
    <cellStyle name="10p,表組,m 4" xfId="2202"/>
    <cellStyle name="10p,表組,m 4 2" xfId="6867"/>
    <cellStyle name="10p,表組,m 4 3" xfId="11638"/>
    <cellStyle name="10p,表組,m 5" xfId="4479"/>
    <cellStyle name="10p,表組,m 5 2" xfId="7963"/>
    <cellStyle name="10p,表組,m 5 3" xfId="11646"/>
    <cellStyle name="10p,表組,m 6" xfId="6751"/>
    <cellStyle name="10p,表組,m 6 2" xfId="11654"/>
    <cellStyle name="10p,表組,m 7" xfId="1978"/>
    <cellStyle name="10p,表組,m 7 2" xfId="11571"/>
    <cellStyle name="10p,表組,m 8" xfId="11557"/>
    <cellStyle name="２" xfId="51"/>
    <cellStyle name="２ 2" xfId="52"/>
    <cellStyle name="２ 2 2" xfId="53"/>
    <cellStyle name="２ 2 3" xfId="54"/>
    <cellStyle name="２_メールアドレス使用文字" xfId="55"/>
    <cellStyle name="２_メールアドレス使用文字 2" xfId="56"/>
    <cellStyle name="２_メールアドレス使用文字 2 2" xfId="57"/>
    <cellStyle name="２_メールアドレス使用文字 2 2 2" xfId="58"/>
    <cellStyle name="２_メールアドレス使用文字 2 2 3" xfId="59"/>
    <cellStyle name="２_メールアドレス使用文字 3" xfId="60"/>
    <cellStyle name="２_メールアドレス使用文字 3 2" xfId="61"/>
    <cellStyle name="２_メールアドレス使用文字 3 3" xfId="62"/>
    <cellStyle name="２_外為証拠金　システム間接続仕様書" xfId="63"/>
    <cellStyle name="２_外為証拠金　システム間接続仕様書 2" xfId="64"/>
    <cellStyle name="２_外為証拠金　システム間接続仕様書 2 2" xfId="65"/>
    <cellStyle name="２_外為証拠金　システム間接続仕様書 2 3" xfId="66"/>
    <cellStyle name="20% - Accent1" xfId="67"/>
    <cellStyle name="20% - Accent1 2" xfId="68"/>
    <cellStyle name="20% - Accent2" xfId="69"/>
    <cellStyle name="20% - Accent2 2" xfId="70"/>
    <cellStyle name="20% - Accent3" xfId="13"/>
    <cellStyle name="20% - Accent3 2" xfId="71"/>
    <cellStyle name="20% - Accent4" xfId="72"/>
    <cellStyle name="20% - Accent4 2" xfId="73"/>
    <cellStyle name="20% - Accent5" xfId="74"/>
    <cellStyle name="20% - Accent5 2" xfId="75"/>
    <cellStyle name="20% - Accent6" xfId="76"/>
    <cellStyle name="20% - Accent6 2" xfId="77"/>
    <cellStyle name="20% - アクセント 1 2" xfId="78"/>
    <cellStyle name="20% - アクセント 1 2 2" xfId="79"/>
    <cellStyle name="20% - アクセント 1 2 3" xfId="80"/>
    <cellStyle name="20% - アクセント 1 2 4" xfId="81"/>
    <cellStyle name="20% - アクセント 1 3" xfId="82"/>
    <cellStyle name="20% - アクセント 1 3 2" xfId="83"/>
    <cellStyle name="20% - アクセント 1 3 3" xfId="84"/>
    <cellStyle name="20% - アクセント 1 4" xfId="85"/>
    <cellStyle name="20% - アクセント 1 5" xfId="86"/>
    <cellStyle name="20% - アクセント 1 6" xfId="87"/>
    <cellStyle name="20% - アクセント 2 2" xfId="88"/>
    <cellStyle name="20% - アクセント 2 2 2" xfId="89"/>
    <cellStyle name="20% - アクセント 2 2 3" xfId="90"/>
    <cellStyle name="20% - アクセント 2 2 4" xfId="91"/>
    <cellStyle name="20% - アクセント 2 3" xfId="92"/>
    <cellStyle name="20% - アクセント 2 3 2" xfId="93"/>
    <cellStyle name="20% - アクセント 2 3 3" xfId="94"/>
    <cellStyle name="20% - アクセント 2 4" xfId="95"/>
    <cellStyle name="20% - アクセント 2 5" xfId="96"/>
    <cellStyle name="20% - アクセント 2 6" xfId="97"/>
    <cellStyle name="20% - アクセント 3 2" xfId="98"/>
    <cellStyle name="20% - アクセント 3 2 2" xfId="99"/>
    <cellStyle name="20% - アクセント 3 2 3" xfId="100"/>
    <cellStyle name="20% - アクセント 3 2 4" xfId="101"/>
    <cellStyle name="20% - アクセント 3 3" xfId="102"/>
    <cellStyle name="20% - アクセント 3 3 2" xfId="103"/>
    <cellStyle name="20% - アクセント 3 4" xfId="104"/>
    <cellStyle name="20% - アクセント 3 5" xfId="105"/>
    <cellStyle name="20% - アクセント 3 6" xfId="106"/>
    <cellStyle name="20% - アクセント 4 2" xfId="107"/>
    <cellStyle name="20% - アクセント 4 2 2" xfId="108"/>
    <cellStyle name="20% - アクセント 4 2 3" xfId="109"/>
    <cellStyle name="20% - アクセント 4 2 4" xfId="110"/>
    <cellStyle name="20% - アクセント 4 3" xfId="111"/>
    <cellStyle name="20% - アクセント 4 3 2" xfId="112"/>
    <cellStyle name="20% - アクセント 4 3 3" xfId="113"/>
    <cellStyle name="20% - アクセント 4 4" xfId="114"/>
    <cellStyle name="20% - アクセント 4 5" xfId="115"/>
    <cellStyle name="20% - アクセント 4 6" xfId="116"/>
    <cellStyle name="20% - アクセント 5 2" xfId="117"/>
    <cellStyle name="20% - アクセント 5 2 2" xfId="118"/>
    <cellStyle name="20% - アクセント 5 2 3" xfId="119"/>
    <cellStyle name="20% - アクセント 5 2 4" xfId="120"/>
    <cellStyle name="20% - アクセント 5 3" xfId="121"/>
    <cellStyle name="20% - アクセント 5 4" xfId="122"/>
    <cellStyle name="20% - アクセント 5 5" xfId="123"/>
    <cellStyle name="20% - アクセント 5 6" xfId="124"/>
    <cellStyle name="20% - アクセント 6 2" xfId="125"/>
    <cellStyle name="20% - アクセント 6 2 2" xfId="126"/>
    <cellStyle name="20% - アクセント 6 2 3" xfId="127"/>
    <cellStyle name="20% - アクセント 6 2 4" xfId="128"/>
    <cellStyle name="20% - アクセント 6 3" xfId="129"/>
    <cellStyle name="20% - アクセント 6 3 2" xfId="130"/>
    <cellStyle name="20% - アクセント 6 4" xfId="131"/>
    <cellStyle name="20% - アクセント 6 5" xfId="132"/>
    <cellStyle name="20% - アクセント 6 6" xfId="133"/>
    <cellStyle name="20% - 강조색1" xfId="134"/>
    <cellStyle name="20% - 강조색2" xfId="135"/>
    <cellStyle name="20% - 강조색3" xfId="136"/>
    <cellStyle name="20% - 강조색4" xfId="137"/>
    <cellStyle name="20% - 강조색5" xfId="138"/>
    <cellStyle name="20% - 강조색6" xfId="139"/>
    <cellStyle name="40% - Accent1" xfId="140"/>
    <cellStyle name="40% - Accent1 2" xfId="141"/>
    <cellStyle name="40% - Accent2" xfId="142"/>
    <cellStyle name="40% - Accent2 2" xfId="143"/>
    <cellStyle name="40% - Accent3" xfId="144"/>
    <cellStyle name="40% - Accent3 2" xfId="145"/>
    <cellStyle name="40% - Accent4" xfId="146"/>
    <cellStyle name="40% - Accent4 2" xfId="147"/>
    <cellStyle name="40% - Accent5" xfId="148"/>
    <cellStyle name="40% - Accent5 2" xfId="149"/>
    <cellStyle name="40% - Accent6" xfId="150"/>
    <cellStyle name="40% - Accent6 2" xfId="151"/>
    <cellStyle name="40% - アクセント 1 2" xfId="152"/>
    <cellStyle name="40% - アクセント 1 2 2" xfId="153"/>
    <cellStyle name="40% - アクセント 1 2 3" xfId="154"/>
    <cellStyle name="40% - アクセント 1 2 4" xfId="155"/>
    <cellStyle name="40% - アクセント 1 3" xfId="156"/>
    <cellStyle name="40% - アクセント 1 3 2" xfId="157"/>
    <cellStyle name="40% - アクセント 1 4" xfId="158"/>
    <cellStyle name="40% - アクセント 1 5" xfId="159"/>
    <cellStyle name="40% - アクセント 1 6" xfId="160"/>
    <cellStyle name="40% - アクセント 2 2" xfId="161"/>
    <cellStyle name="40% - アクセント 2 2 2" xfId="162"/>
    <cellStyle name="40% - アクセント 2 2 3" xfId="163"/>
    <cellStyle name="40% - アクセント 2 2 4" xfId="164"/>
    <cellStyle name="40% - アクセント 2 3" xfId="165"/>
    <cellStyle name="40% - アクセント 2 4" xfId="166"/>
    <cellStyle name="40% - アクセント 2 5" xfId="167"/>
    <cellStyle name="40% - アクセント 2 6" xfId="168"/>
    <cellStyle name="40% - アクセント 3 2" xfId="169"/>
    <cellStyle name="40% - アクセント 3 2 2" xfId="170"/>
    <cellStyle name="40% - アクセント 3 2 3" xfId="171"/>
    <cellStyle name="40% - アクセント 3 2 4" xfId="172"/>
    <cellStyle name="40% - アクセント 3 3" xfId="173"/>
    <cellStyle name="40% - アクセント 3 3 2" xfId="174"/>
    <cellStyle name="40% - アクセント 3 4" xfId="175"/>
    <cellStyle name="40% - アクセント 3 5" xfId="176"/>
    <cellStyle name="40% - アクセント 3 6" xfId="177"/>
    <cellStyle name="40% - アクセント 4 2" xfId="178"/>
    <cellStyle name="40% - アクセント 4 2 2" xfId="179"/>
    <cellStyle name="40% - アクセント 4 2 3" xfId="180"/>
    <cellStyle name="40% - アクセント 4 2 4" xfId="181"/>
    <cellStyle name="40% - アクセント 4 3" xfId="182"/>
    <cellStyle name="40% - アクセント 4 3 2" xfId="183"/>
    <cellStyle name="40% - アクセント 4 4" xfId="184"/>
    <cellStyle name="40% - アクセント 4 5" xfId="185"/>
    <cellStyle name="40% - アクセント 4 6" xfId="186"/>
    <cellStyle name="40% - アクセント 5 2" xfId="187"/>
    <cellStyle name="40% - アクセント 5 2 2" xfId="188"/>
    <cellStyle name="40% - アクセント 5 2 3" xfId="189"/>
    <cellStyle name="40% - アクセント 5 2 4" xfId="190"/>
    <cellStyle name="40% - アクセント 5 3" xfId="191"/>
    <cellStyle name="40% - アクセント 5 4" xfId="192"/>
    <cellStyle name="40% - アクセント 5 5" xfId="193"/>
    <cellStyle name="40% - アクセント 5 6" xfId="194"/>
    <cellStyle name="40% - アクセント 6 2" xfId="195"/>
    <cellStyle name="40% - アクセント 6 2 2" xfId="196"/>
    <cellStyle name="40% - アクセント 6 2 3" xfId="197"/>
    <cellStyle name="40% - アクセント 6 2 4" xfId="198"/>
    <cellStyle name="40% - アクセント 6 3" xfId="199"/>
    <cellStyle name="40% - アクセント 6 3 2" xfId="200"/>
    <cellStyle name="40% - アクセント 6 3 3" xfId="201"/>
    <cellStyle name="40% - アクセント 6 4" xfId="202"/>
    <cellStyle name="40% - アクセント 6 5" xfId="203"/>
    <cellStyle name="40% - アクセント 6 6" xfId="204"/>
    <cellStyle name="40% - 강조색1" xfId="205"/>
    <cellStyle name="40% - 강조색2" xfId="206"/>
    <cellStyle name="40% - 강조색3" xfId="207"/>
    <cellStyle name="40% - 강조색4" xfId="208"/>
    <cellStyle name="40% - 강조색5" xfId="209"/>
    <cellStyle name="40% - 강조색6" xfId="210"/>
    <cellStyle name="60% - Accent1" xfId="211"/>
    <cellStyle name="60% - Accent1 2" xfId="212"/>
    <cellStyle name="60% - Accent2" xfId="213"/>
    <cellStyle name="60% - Accent2 2" xfId="214"/>
    <cellStyle name="60% - Accent3" xfId="215"/>
    <cellStyle name="60% - Accent3 2" xfId="216"/>
    <cellStyle name="60% - Accent4" xfId="217"/>
    <cellStyle name="60% - Accent4 2" xfId="218"/>
    <cellStyle name="60% - Accent5" xfId="219"/>
    <cellStyle name="60% - Accent5 2" xfId="220"/>
    <cellStyle name="60% - Accent6" xfId="221"/>
    <cellStyle name="60% - Accent6 2" xfId="222"/>
    <cellStyle name="60% - アクセント 1 2" xfId="223"/>
    <cellStyle name="60% - アクセント 1 2 2" xfId="224"/>
    <cellStyle name="60% - アクセント 1 2 3" xfId="225"/>
    <cellStyle name="60% - アクセント 1 2 4" xfId="226"/>
    <cellStyle name="60% - アクセント 1 3" xfId="227"/>
    <cellStyle name="60% - アクセント 1 3 2" xfId="228"/>
    <cellStyle name="60% - アクセント 1 4" xfId="229"/>
    <cellStyle name="60% - アクセント 1 5" xfId="230"/>
    <cellStyle name="60% - アクセント 2 2" xfId="231"/>
    <cellStyle name="60% - アクセント 2 2 2" xfId="232"/>
    <cellStyle name="60% - アクセント 2 2 3" xfId="233"/>
    <cellStyle name="60% - アクセント 2 2 4" xfId="234"/>
    <cellStyle name="60% - アクセント 2 3" xfId="235"/>
    <cellStyle name="60% - アクセント 2 4" xfId="236"/>
    <cellStyle name="60% - アクセント 2 5" xfId="237"/>
    <cellStyle name="60% - アクセント 3 2" xfId="238"/>
    <cellStyle name="60% - アクセント 3 2 2" xfId="239"/>
    <cellStyle name="60% - アクセント 3 2 3" xfId="240"/>
    <cellStyle name="60% - アクセント 3 2 4" xfId="241"/>
    <cellStyle name="60% - アクセント 3 3" xfId="242"/>
    <cellStyle name="60% - アクセント 3 3 2" xfId="243"/>
    <cellStyle name="60% - アクセント 3 4" xfId="244"/>
    <cellStyle name="60% - アクセント 3 5" xfId="245"/>
    <cellStyle name="60% - アクセント 4 2" xfId="246"/>
    <cellStyle name="60% - アクセント 4 2 2" xfId="247"/>
    <cellStyle name="60% - アクセント 4 2 3" xfId="248"/>
    <cellStyle name="60% - アクセント 4 2 4" xfId="249"/>
    <cellStyle name="60% - アクセント 4 3" xfId="250"/>
    <cellStyle name="60% - アクセント 4 3 2" xfId="251"/>
    <cellStyle name="60% - アクセント 4 4" xfId="252"/>
    <cellStyle name="60% - アクセント 4 5" xfId="253"/>
    <cellStyle name="60% - アクセント 5 2" xfId="254"/>
    <cellStyle name="60% - アクセント 5 2 2" xfId="255"/>
    <cellStyle name="60% - アクセント 5 2 3" xfId="256"/>
    <cellStyle name="60% - アクセント 5 2 4" xfId="257"/>
    <cellStyle name="60% - アクセント 5 3" xfId="258"/>
    <cellStyle name="60% - アクセント 5 4" xfId="259"/>
    <cellStyle name="60% - アクセント 5 5" xfId="260"/>
    <cellStyle name="60% - アクセント 6 2" xfId="261"/>
    <cellStyle name="60% - アクセント 6 2 2" xfId="262"/>
    <cellStyle name="60% - アクセント 6 2 3" xfId="263"/>
    <cellStyle name="60% - アクセント 6 2 4" xfId="264"/>
    <cellStyle name="60% - アクセント 6 3" xfId="265"/>
    <cellStyle name="60% - アクセント 6 3 2" xfId="266"/>
    <cellStyle name="60% - アクセント 6 3 3" xfId="267"/>
    <cellStyle name="60% - アクセント 6 4" xfId="268"/>
    <cellStyle name="60% - アクセント 6 5" xfId="269"/>
    <cellStyle name="60% - 강조색1" xfId="270"/>
    <cellStyle name="60% - 강조색2" xfId="271"/>
    <cellStyle name="60% - 강조색3" xfId="272"/>
    <cellStyle name="60% - 강조색4" xfId="273"/>
    <cellStyle name="60% - 강조색5" xfId="274"/>
    <cellStyle name="60% - 강조색6" xfId="275"/>
    <cellStyle name="AAA" xfId="276"/>
    <cellStyle name="AAA 2" xfId="277"/>
    <cellStyle name="AAA 2 2" xfId="278"/>
    <cellStyle name="AAA 2 2 2" xfId="279"/>
    <cellStyle name="AAA 2 2 3" xfId="280"/>
    <cellStyle name="AAA 3" xfId="281"/>
    <cellStyle name="AAA 3 2" xfId="282"/>
    <cellStyle name="AAA 3 3" xfId="283"/>
    <cellStyle name="Accent1" xfId="284"/>
    <cellStyle name="Accent1 2" xfId="285"/>
    <cellStyle name="Accent2" xfId="286"/>
    <cellStyle name="Accent2 2" xfId="287"/>
    <cellStyle name="Accent3" xfId="288"/>
    <cellStyle name="Accent3 2" xfId="289"/>
    <cellStyle name="Accent4" xfId="290"/>
    <cellStyle name="Accent4 2" xfId="291"/>
    <cellStyle name="Accent5" xfId="292"/>
    <cellStyle name="Accent5 2" xfId="293"/>
    <cellStyle name="Accent6" xfId="294"/>
    <cellStyle name="Accent6 2" xfId="295"/>
    <cellStyle name="args.style" xfId="296"/>
    <cellStyle name="Bad" xfId="297"/>
    <cellStyle name="Bad 2" xfId="298"/>
    <cellStyle name="blank" xfId="299"/>
    <cellStyle name="blank 2" xfId="300"/>
    <cellStyle name="Body" xfId="301"/>
    <cellStyle name="Calc Currency (0)" xfId="302"/>
    <cellStyle name="Calc Currency (0) 2" xfId="303"/>
    <cellStyle name="Calc Currency (0) 3" xfId="304"/>
    <cellStyle name="Calc Currency (0) 4" xfId="305"/>
    <cellStyle name="Calc Currency (0) 4 2" xfId="6753"/>
    <cellStyle name="Calc Currency (2)" xfId="306"/>
    <cellStyle name="Calc Percent (0)" xfId="307"/>
    <cellStyle name="Calc Percent (1)" xfId="308"/>
    <cellStyle name="Calc Percent (2)" xfId="309"/>
    <cellStyle name="Calc Units (0)" xfId="310"/>
    <cellStyle name="Calc Units (1)" xfId="311"/>
    <cellStyle name="Calc Units (2)" xfId="312"/>
    <cellStyle name="Calculation" xfId="313"/>
    <cellStyle name="Calculation 2" xfId="314"/>
    <cellStyle name="Calculation 2 2" xfId="2345"/>
    <cellStyle name="Calculation 2 2 2" xfId="3402"/>
    <cellStyle name="Calculation 2 2 2 2" xfId="5675"/>
    <cellStyle name="Calculation 2 2 2 2 2" xfId="8381"/>
    <cellStyle name="Calculation 2 2 2 3" xfId="7414"/>
    <cellStyle name="Calculation 2 2 3" xfId="3386"/>
    <cellStyle name="Calculation 2 2 3 2" xfId="5659"/>
    <cellStyle name="Calculation 2 2 3 2 2" xfId="8375"/>
    <cellStyle name="Calculation 2 2 3 3" xfId="7408"/>
    <cellStyle name="Calculation 2 2 4" xfId="3626"/>
    <cellStyle name="Calculation 2 2 4 2" xfId="5899"/>
    <cellStyle name="Calculation 2 2 4 2 2" xfId="8519"/>
    <cellStyle name="Calculation 2 2 4 3" xfId="7552"/>
    <cellStyle name="Calculation 2 2 5" xfId="3865"/>
    <cellStyle name="Calculation 2 2 5 2" xfId="6138"/>
    <cellStyle name="Calculation 2 2 5 2 2" xfId="8756"/>
    <cellStyle name="Calculation 2 2 5 3" xfId="7789"/>
    <cellStyle name="Calculation 2 2 6" xfId="3919"/>
    <cellStyle name="Calculation 2 2 6 2" xfId="6192"/>
    <cellStyle name="Calculation 2 2 6 2 2" xfId="8810"/>
    <cellStyle name="Calculation 2 2 6 3" xfId="7843"/>
    <cellStyle name="Calculation 2 2 7" xfId="4579"/>
    <cellStyle name="Calculation 2 2 7 2" xfId="7974"/>
    <cellStyle name="Calculation 2 2 8" xfId="7007"/>
    <cellStyle name="Calculation 2 3" xfId="3069"/>
    <cellStyle name="Calculation 2 3 2" xfId="5342"/>
    <cellStyle name="Calculation 2 3 2 2" xfId="8134"/>
    <cellStyle name="Calculation 2 3 3" xfId="7167"/>
    <cellStyle name="Calculation 2 4" xfId="2205"/>
    <cellStyle name="Calculation 2 4 2" xfId="6870"/>
    <cellStyle name="Calculation 2 5" xfId="2099"/>
    <cellStyle name="Calculation 3" xfId="2344"/>
    <cellStyle name="Calculation 3 2" xfId="3401"/>
    <cellStyle name="Calculation 3 2 2" xfId="5674"/>
    <cellStyle name="Calculation 3 2 2 2" xfId="8380"/>
    <cellStyle name="Calculation 3 2 3" xfId="7413"/>
    <cellStyle name="Calculation 3 3" xfId="3385"/>
    <cellStyle name="Calculation 3 3 2" xfId="5658"/>
    <cellStyle name="Calculation 3 3 2 2" xfId="8374"/>
    <cellStyle name="Calculation 3 3 3" xfId="7407"/>
    <cellStyle name="Calculation 3 4" xfId="3625"/>
    <cellStyle name="Calculation 3 4 2" xfId="5898"/>
    <cellStyle name="Calculation 3 4 2 2" xfId="8518"/>
    <cellStyle name="Calculation 3 4 3" xfId="7551"/>
    <cellStyle name="Calculation 3 5" xfId="3953"/>
    <cellStyle name="Calculation 3 5 2" xfId="6226"/>
    <cellStyle name="Calculation 3 5 2 2" xfId="8844"/>
    <cellStyle name="Calculation 3 5 3" xfId="7877"/>
    <cellStyle name="Calculation 3 6" xfId="3838"/>
    <cellStyle name="Calculation 3 6 2" xfId="6111"/>
    <cellStyle name="Calculation 3 6 2 2" xfId="8729"/>
    <cellStyle name="Calculation 3 6 3" xfId="7762"/>
    <cellStyle name="Calculation 3 7" xfId="4578"/>
    <cellStyle name="Calculation 3 7 2" xfId="7973"/>
    <cellStyle name="Calculation 3 8" xfId="7006"/>
    <cellStyle name="Calculation 4" xfId="3068"/>
    <cellStyle name="Calculation 4 2" xfId="5341"/>
    <cellStyle name="Calculation 4 2 2" xfId="8133"/>
    <cellStyle name="Calculation 4 3" xfId="7166"/>
    <cellStyle name="Calculation 5" xfId="2204"/>
    <cellStyle name="Calculation 5 2" xfId="6869"/>
    <cellStyle name="Calculation 6" xfId="2100"/>
    <cellStyle name="Check Cell" xfId="315"/>
    <cellStyle name="Check Cell 2" xfId="316"/>
    <cellStyle name="Col Heads" xfId="317"/>
    <cellStyle name="Comma  - Style1" xfId="318"/>
    <cellStyle name="Comma  - Style2" xfId="319"/>
    <cellStyle name="Comma  - Style3" xfId="320"/>
    <cellStyle name="Comma  - Style4" xfId="321"/>
    <cellStyle name="Comma  - Style5" xfId="322"/>
    <cellStyle name="Comma  - Style6" xfId="323"/>
    <cellStyle name="Comma  - Style7" xfId="324"/>
    <cellStyle name="Comma  - Style8" xfId="325"/>
    <cellStyle name="Comma [0]" xfId="326"/>
    <cellStyle name="Comma [0] 2" xfId="327"/>
    <cellStyle name="Comma [0] 3" xfId="328"/>
    <cellStyle name="Comma [0] 4" xfId="329"/>
    <cellStyle name="Comma [0]_laroux" xfId="330"/>
    <cellStyle name="Comma [00]" xfId="331"/>
    <cellStyle name="Comma,0" xfId="332"/>
    <cellStyle name="Comma,1" xfId="333"/>
    <cellStyle name="Comma,2" xfId="334"/>
    <cellStyle name="Comma_!!!GO" xfId="335"/>
    <cellStyle name="Currency [0]" xfId="336"/>
    <cellStyle name="Currency [0] 2" xfId="337"/>
    <cellStyle name="Currency [0] 3" xfId="338"/>
    <cellStyle name="Currency [0]_laroux" xfId="339"/>
    <cellStyle name="Currency [00]" xfId="340"/>
    <cellStyle name="Currency,0" xfId="341"/>
    <cellStyle name="Currency,2" xfId="342"/>
    <cellStyle name="Currency_!!!GO" xfId="343"/>
    <cellStyle name="Date Short" xfId="344"/>
    <cellStyle name="Enter Currency (0)" xfId="345"/>
    <cellStyle name="Enter Currency (2)" xfId="346"/>
    <cellStyle name="Enter Units (0)" xfId="347"/>
    <cellStyle name="Enter Units (1)" xfId="348"/>
    <cellStyle name="Enter Units (2)" xfId="349"/>
    <cellStyle name="entry" xfId="350"/>
    <cellStyle name="Explanatory Text" xfId="351"/>
    <cellStyle name="Explanatory Text 2" xfId="352"/>
    <cellStyle name="g/標準" xfId="353"/>
    <cellStyle name="g/標準 2" xfId="354"/>
    <cellStyle name="g/標準 2 2" xfId="355"/>
    <cellStyle name="g/標準 2 2 2" xfId="356"/>
    <cellStyle name="g/標準 2 2 2 2" xfId="357"/>
    <cellStyle name="g/標準 2 2 2 2 2" xfId="358"/>
    <cellStyle name="g/標準 2 2 2 2 2 2" xfId="359"/>
    <cellStyle name="g/標準 2 2 2 2 2 2 2" xfId="360"/>
    <cellStyle name="g/標準 2 2 2 2 3" xfId="361"/>
    <cellStyle name="g/標準 2 2 2 2 3 2" xfId="362"/>
    <cellStyle name="g/標準 2 2 2 2 3 2 2" xfId="363"/>
    <cellStyle name="g/標準 2 2 2 2 4" xfId="364"/>
    <cellStyle name="g/標準 2 2 2 2 4 2" xfId="365"/>
    <cellStyle name="g/標準 2 2 2 3" xfId="366"/>
    <cellStyle name="g/標準 2 2 2 3 2" xfId="367"/>
    <cellStyle name="g/標準 2 2 3" xfId="368"/>
    <cellStyle name="g/標準 2 2 3 2" xfId="369"/>
    <cellStyle name="g/標準 2 2 3 2 2" xfId="370"/>
    <cellStyle name="g/標準 2 2 3 2 2 2" xfId="371"/>
    <cellStyle name="g/標準 2 2 3 2 2 2 2" xfId="372"/>
    <cellStyle name="g/標準 2 2 3 2 3" xfId="373"/>
    <cellStyle name="g/標準 2 2 3 2 3 2" xfId="374"/>
    <cellStyle name="g/標準 2 2 3 2 3 2 2" xfId="375"/>
    <cellStyle name="g/標準 2 2 3 2 4" xfId="376"/>
    <cellStyle name="g/標準 2 2 3 2 4 2" xfId="377"/>
    <cellStyle name="g/標準 2 2 3 3" xfId="378"/>
    <cellStyle name="g/標準 2 2 3 3 2" xfId="379"/>
    <cellStyle name="g/標準 2 2 4" xfId="380"/>
    <cellStyle name="g/標準 2 2 4 2" xfId="381"/>
    <cellStyle name="g/標準 2 2 4 2 2" xfId="382"/>
    <cellStyle name="g/標準 2 2 4 2 2 2" xfId="383"/>
    <cellStyle name="g/標準 2 2 4 3" xfId="384"/>
    <cellStyle name="g/標準 2 2 4 3 2" xfId="385"/>
    <cellStyle name="g/標準 2 2 4 3 2 2" xfId="386"/>
    <cellStyle name="g/標準 2 2 4 4" xfId="387"/>
    <cellStyle name="g/標準 2 2 4 4 2" xfId="388"/>
    <cellStyle name="g/標準 2 2 5" xfId="389"/>
    <cellStyle name="g/標準 2 2 5 2" xfId="390"/>
    <cellStyle name="g/標準 2 3" xfId="391"/>
    <cellStyle name="g/標準 2 3 2" xfId="392"/>
    <cellStyle name="g/標準 2 3 2 2" xfId="393"/>
    <cellStyle name="g/標準 2 3 2 2 2" xfId="394"/>
    <cellStyle name="g/標準 2 3 2 2 2 2" xfId="395"/>
    <cellStyle name="g/標準 2 3 2 3" xfId="396"/>
    <cellStyle name="g/標準 2 3 2 3 2" xfId="397"/>
    <cellStyle name="g/標準 2 3 2 3 2 2" xfId="398"/>
    <cellStyle name="g/標準 2 3 2 4" xfId="399"/>
    <cellStyle name="g/標準 2 3 2 4 2" xfId="400"/>
    <cellStyle name="g/標準 2 3 3" xfId="401"/>
    <cellStyle name="g/標準 2 3 3 2" xfId="402"/>
    <cellStyle name="g/標準 2 4" xfId="403"/>
    <cellStyle name="g/標準 2 4 2" xfId="404"/>
    <cellStyle name="g/標準 2 4 2 2" xfId="405"/>
    <cellStyle name="g/標準 2 4 2 2 2" xfId="406"/>
    <cellStyle name="g/標準 2 4 3" xfId="407"/>
    <cellStyle name="g/標準 2 4 3 2" xfId="408"/>
    <cellStyle name="g/標準 2 4 3 2 2" xfId="409"/>
    <cellStyle name="g/標準 2 4 4" xfId="410"/>
    <cellStyle name="g/標準 2 4 4 2" xfId="411"/>
    <cellStyle name="g/標準 2 5" xfId="412"/>
    <cellStyle name="g/標準 2 5 2" xfId="413"/>
    <cellStyle name="g/標準 3" xfId="414"/>
    <cellStyle name="g/標準 3 2" xfId="415"/>
    <cellStyle name="g/標準 3 2 2" xfId="416"/>
    <cellStyle name="g/標準 3 2 2 2" xfId="417"/>
    <cellStyle name="g/標準 3 2 2 2 2" xfId="418"/>
    <cellStyle name="g/標準 3 2 2 2 2 2" xfId="419"/>
    <cellStyle name="g/標準 3 2 2 2 2 2 2" xfId="420"/>
    <cellStyle name="g/標準 3 2 2 2 3" xfId="421"/>
    <cellStyle name="g/標準 3 2 2 2 3 2" xfId="422"/>
    <cellStyle name="g/標準 3 2 2 2 3 2 2" xfId="423"/>
    <cellStyle name="g/標準 3 2 2 2 4" xfId="424"/>
    <cellStyle name="g/標準 3 2 2 2 4 2" xfId="425"/>
    <cellStyle name="g/標準 3 2 2 3" xfId="426"/>
    <cellStyle name="g/標準 3 2 2 3 2" xfId="427"/>
    <cellStyle name="g/標準 3 2 3" xfId="428"/>
    <cellStyle name="g/標準 3 2 3 2" xfId="429"/>
    <cellStyle name="g/標準 3 2 3 2 2" xfId="430"/>
    <cellStyle name="g/標準 3 2 3 2 2 2" xfId="431"/>
    <cellStyle name="g/標準 3 2 3 3" xfId="432"/>
    <cellStyle name="g/標準 3 2 3 3 2" xfId="433"/>
    <cellStyle name="g/標準 3 2 3 3 2 2" xfId="434"/>
    <cellStyle name="g/標準 3 2 3 4" xfId="435"/>
    <cellStyle name="g/標準 3 2 3 4 2" xfId="436"/>
    <cellStyle name="g/標準 3 2 4" xfId="437"/>
    <cellStyle name="g/標準 3 2 4 2" xfId="438"/>
    <cellStyle name="g/標準 3 3" xfId="439"/>
    <cellStyle name="g/標準 3 3 2" xfId="440"/>
    <cellStyle name="g/標準 3 3 2 2" xfId="441"/>
    <cellStyle name="g/標準 3 3 2 2 2" xfId="442"/>
    <cellStyle name="g/標準 3 3 2 2 2 2" xfId="443"/>
    <cellStyle name="g/標準 3 3 2 3" xfId="444"/>
    <cellStyle name="g/標準 3 3 2 3 2" xfId="445"/>
    <cellStyle name="g/標準 3 3 2 3 2 2" xfId="446"/>
    <cellStyle name="g/標準 3 3 2 4" xfId="447"/>
    <cellStyle name="g/標準 3 3 2 4 2" xfId="448"/>
    <cellStyle name="g/標準 3 3 3" xfId="449"/>
    <cellStyle name="g/標準 3 3 3 2" xfId="450"/>
    <cellStyle name="g/標準 3 4" xfId="451"/>
    <cellStyle name="g/標準 3 4 2" xfId="452"/>
    <cellStyle name="g/標準 3 4 2 2" xfId="453"/>
    <cellStyle name="g/標準 3 4 2 2 2" xfId="454"/>
    <cellStyle name="g/標準 3 4 3" xfId="455"/>
    <cellStyle name="g/標準 3 4 3 2" xfId="456"/>
    <cellStyle name="g/標準 3 4 3 2 2" xfId="457"/>
    <cellStyle name="g/標準 3 4 4" xfId="458"/>
    <cellStyle name="g/標準 3 4 4 2" xfId="459"/>
    <cellStyle name="g/標準 3 5" xfId="460"/>
    <cellStyle name="g/標準 3 5 2" xfId="461"/>
    <cellStyle name="g/標準 4" xfId="462"/>
    <cellStyle name="g/標準 4 2" xfId="463"/>
    <cellStyle name="g/標準 4 2 2" xfId="464"/>
    <cellStyle name="g/標準 4 2 2 2" xfId="465"/>
    <cellStyle name="g/標準 4 2 2 2 2" xfId="466"/>
    <cellStyle name="g/標準 4 2 3" xfId="467"/>
    <cellStyle name="g/標準 4 2 3 2" xfId="468"/>
    <cellStyle name="g/標準 4 2 3 2 2" xfId="469"/>
    <cellStyle name="g/標準 4 2 4" xfId="470"/>
    <cellStyle name="g/標準 4 2 4 2" xfId="471"/>
    <cellStyle name="g/標準 4 3" xfId="472"/>
    <cellStyle name="g/標準 4 3 2" xfId="473"/>
    <cellStyle name="g/標準 5" xfId="474"/>
    <cellStyle name="g/標準 5 2" xfId="475"/>
    <cellStyle name="g/標準 5 2 2" xfId="476"/>
    <cellStyle name="g/標準 5 2 2 2" xfId="477"/>
    <cellStyle name="g/標準 5 2 2 2 2" xfId="478"/>
    <cellStyle name="g/標準 5 2 3" xfId="479"/>
    <cellStyle name="g/標準 5 2 3 2" xfId="480"/>
    <cellStyle name="g/標準 5 2 3 2 2" xfId="481"/>
    <cellStyle name="g/標準 5 2 4" xfId="482"/>
    <cellStyle name="g/標準 5 2 4 2" xfId="483"/>
    <cellStyle name="g/標準 5 3" xfId="484"/>
    <cellStyle name="g/標準 5 3 2" xfId="485"/>
    <cellStyle name="g/標準 6" xfId="486"/>
    <cellStyle name="g/標準 6 2" xfId="487"/>
    <cellStyle name="g/標準 6 2 2" xfId="488"/>
    <cellStyle name="g/標準 6 2 2 2" xfId="489"/>
    <cellStyle name="g/標準 6 3" xfId="490"/>
    <cellStyle name="g/標準 6 3 2" xfId="491"/>
    <cellStyle name="g/標準 6 3 2 2" xfId="492"/>
    <cellStyle name="g/標準 6 4" xfId="493"/>
    <cellStyle name="g/標準 6 4 2" xfId="494"/>
    <cellStyle name="g/標準 7" xfId="495"/>
    <cellStyle name="g/標準 7 2" xfId="496"/>
    <cellStyle name="g/標準 7 2 2" xfId="497"/>
    <cellStyle name="g/標準 7 2 2 2" xfId="498"/>
    <cellStyle name="g/標準 7 3" xfId="499"/>
    <cellStyle name="g/標準 7 3 2" xfId="500"/>
    <cellStyle name="g/標準 7 3 2 2" xfId="501"/>
    <cellStyle name="g/標準 7 4" xfId="502"/>
    <cellStyle name="g/標準 7 4 2" xfId="503"/>
    <cellStyle name="g/標準 8" xfId="504"/>
    <cellStyle name="g/標準 8 2" xfId="505"/>
    <cellStyle name="GBS Files" xfId="506"/>
    <cellStyle name="Good" xfId="507"/>
    <cellStyle name="Good 2" xfId="508"/>
    <cellStyle name="Grey" xfId="509"/>
    <cellStyle name="Head 1" xfId="510"/>
    <cellStyle name="Head 1 2" xfId="511"/>
    <cellStyle name="Head 1 3" xfId="512"/>
    <cellStyle name="Head 1 4" xfId="513"/>
    <cellStyle name="Header" xfId="514"/>
    <cellStyle name="Header1" xfId="515"/>
    <cellStyle name="Header2" xfId="516"/>
    <cellStyle name="Header2 2" xfId="2346"/>
    <cellStyle name="Header2 2 2" xfId="4580"/>
    <cellStyle name="Header2 2 2 2" xfId="7975"/>
    <cellStyle name="Header2 2 3" xfId="7008"/>
    <cellStyle name="Header2 3" xfId="2206"/>
    <cellStyle name="Header2 3 2" xfId="6871"/>
    <cellStyle name="Header2 4" xfId="4481"/>
    <cellStyle name="Header2 4 2" xfId="7965"/>
    <cellStyle name="Header2 5" xfId="1981"/>
    <cellStyle name="Heading 1" xfId="517"/>
    <cellStyle name="Heading 1 2" xfId="518"/>
    <cellStyle name="Heading 2" xfId="519"/>
    <cellStyle name="Heading 2 2" xfId="520"/>
    <cellStyle name="Heading 3" xfId="521"/>
    <cellStyle name="Heading 3 2" xfId="522"/>
    <cellStyle name="Heading 4" xfId="523"/>
    <cellStyle name="Heading 4 2" xfId="524"/>
    <cellStyle name="Hyperlink" xfId="525"/>
    <cellStyle name="IBM(401K)" xfId="526"/>
    <cellStyle name="IBM(401K) 2" xfId="527"/>
    <cellStyle name="Input" xfId="528"/>
    <cellStyle name="Input [yellow]" xfId="529"/>
    <cellStyle name="Input [yellow] 2" xfId="530"/>
    <cellStyle name="Input [yellow] 2 2" xfId="4582"/>
    <cellStyle name="Input [yellow] 2 2 2" xfId="7977"/>
    <cellStyle name="Input [yellow] 2 2 3" xfId="11652"/>
    <cellStyle name="Input [yellow] 2 3" xfId="7010"/>
    <cellStyle name="Input [yellow] 2 4" xfId="11563"/>
    <cellStyle name="Input [yellow] 3" xfId="2208"/>
    <cellStyle name="Input [yellow] 3 2" xfId="6873"/>
    <cellStyle name="Input [yellow] 3 3" xfId="11640"/>
    <cellStyle name="Input [yellow] 4" xfId="4483"/>
    <cellStyle name="Input [yellow] 4 2" xfId="7967"/>
    <cellStyle name="Input [yellow] 4 3" xfId="11648"/>
    <cellStyle name="Input [yellow] 5" xfId="6755"/>
    <cellStyle name="Input [yellow] 5 2" xfId="11656"/>
    <cellStyle name="Input [yellow] 6" xfId="11562"/>
    <cellStyle name="Input 10" xfId="2877"/>
    <cellStyle name="Input 10 2" xfId="5150"/>
    <cellStyle name="Input 10 2 2" xfId="8116"/>
    <cellStyle name="Input 10 3" xfId="7147"/>
    <cellStyle name="Input 11" xfId="3073"/>
    <cellStyle name="Input 11 2" xfId="5346"/>
    <cellStyle name="Input 11 2 2" xfId="8138"/>
    <cellStyle name="Input 11 3" xfId="7171"/>
    <cellStyle name="Input 12" xfId="3171"/>
    <cellStyle name="Input 12 2" xfId="5444"/>
    <cellStyle name="Input 12 2 2" xfId="8236"/>
    <cellStyle name="Input 12 3" xfId="7269"/>
    <cellStyle name="Input 13" xfId="3070"/>
    <cellStyle name="Input 13 2" xfId="5343"/>
    <cellStyle name="Input 13 2 2" xfId="8135"/>
    <cellStyle name="Input 13 3" xfId="7168"/>
    <cellStyle name="Input 14" xfId="3170"/>
    <cellStyle name="Input 14 2" xfId="5443"/>
    <cellStyle name="Input 14 2 2" xfId="8235"/>
    <cellStyle name="Input 14 3" xfId="7268"/>
    <cellStyle name="Input 15" xfId="3072"/>
    <cellStyle name="Input 15 2" xfId="5345"/>
    <cellStyle name="Input 15 2 2" xfId="8137"/>
    <cellStyle name="Input 15 3" xfId="7170"/>
    <cellStyle name="Input 16" xfId="3812"/>
    <cellStyle name="Input 16 2" xfId="6085"/>
    <cellStyle name="Input 16 2 2" xfId="8703"/>
    <cellStyle name="Input 16 3" xfId="7736"/>
    <cellStyle name="Input 17" xfId="3864"/>
    <cellStyle name="Input 17 2" xfId="6137"/>
    <cellStyle name="Input 17 2 2" xfId="8755"/>
    <cellStyle name="Input 17 3" xfId="7788"/>
    <cellStyle name="Input 18" xfId="3814"/>
    <cellStyle name="Input 18 2" xfId="6087"/>
    <cellStyle name="Input 18 2 2" xfId="8705"/>
    <cellStyle name="Input 18 3" xfId="7738"/>
    <cellStyle name="Input 19" xfId="4013"/>
    <cellStyle name="Input 19 2" xfId="6286"/>
    <cellStyle name="Input 19 2 2" xfId="8874"/>
    <cellStyle name="Input 19 3" xfId="7907"/>
    <cellStyle name="Input 2" xfId="531"/>
    <cellStyle name="Input 2 2" xfId="2348"/>
    <cellStyle name="Input 2 2 2" xfId="3404"/>
    <cellStyle name="Input 2 2 2 2" xfId="5677"/>
    <cellStyle name="Input 2 2 2 2 2" xfId="8383"/>
    <cellStyle name="Input 2 2 2 3" xfId="7416"/>
    <cellStyle name="Input 2 2 3" xfId="3387"/>
    <cellStyle name="Input 2 2 3 2" xfId="5660"/>
    <cellStyle name="Input 2 2 3 2 2" xfId="8376"/>
    <cellStyle name="Input 2 2 3 3" xfId="7409"/>
    <cellStyle name="Input 2 2 4" xfId="3628"/>
    <cellStyle name="Input 2 2 4 2" xfId="5901"/>
    <cellStyle name="Input 2 2 4 2 2" xfId="8521"/>
    <cellStyle name="Input 2 2 4 3" xfId="7554"/>
    <cellStyle name="Input 2 2 5" xfId="3873"/>
    <cellStyle name="Input 2 2 5 2" xfId="6146"/>
    <cellStyle name="Input 2 2 5 2 2" xfId="8764"/>
    <cellStyle name="Input 2 2 5 3" xfId="7797"/>
    <cellStyle name="Input 2 2 6" xfId="3817"/>
    <cellStyle name="Input 2 2 6 2" xfId="6090"/>
    <cellStyle name="Input 2 2 6 2 2" xfId="8708"/>
    <cellStyle name="Input 2 2 6 3" xfId="7741"/>
    <cellStyle name="Input 2 2 7" xfId="4583"/>
    <cellStyle name="Input 2 2 7 2" xfId="7978"/>
    <cellStyle name="Input 2 2 8" xfId="7011"/>
    <cellStyle name="Input 2 3" xfId="3071"/>
    <cellStyle name="Input 2 3 2" xfId="5344"/>
    <cellStyle name="Input 2 3 2 2" xfId="8136"/>
    <cellStyle name="Input 2 3 3" xfId="7169"/>
    <cellStyle name="Input 2 4" xfId="2209"/>
    <cellStyle name="Input 2 4 2" xfId="6874"/>
    <cellStyle name="Input 2 5" xfId="2097"/>
    <cellStyle name="Input 20" xfId="3815"/>
    <cellStyle name="Input 20 2" xfId="6088"/>
    <cellStyle name="Input 20 2 2" xfId="8706"/>
    <cellStyle name="Input 20 3" xfId="7739"/>
    <cellStyle name="Input 21" xfId="3783"/>
    <cellStyle name="Input 21 2" xfId="6056"/>
    <cellStyle name="Input 21 2 2" xfId="8674"/>
    <cellStyle name="Input 21 3" xfId="7707"/>
    <cellStyle name="Input 22" xfId="3955"/>
    <cellStyle name="Input 22 2" xfId="6228"/>
    <cellStyle name="Input 22 2 2" xfId="8846"/>
    <cellStyle name="Input 22 3" xfId="7879"/>
    <cellStyle name="Input 23" xfId="4204"/>
    <cellStyle name="Input 23 2" xfId="6477"/>
    <cellStyle name="Input 23 2 2" xfId="8921"/>
    <cellStyle name="Input 23 3" xfId="7954"/>
    <cellStyle name="Input 24" xfId="4207"/>
    <cellStyle name="Input 24 2" xfId="6480"/>
    <cellStyle name="Input 24 2 2" xfId="8924"/>
    <cellStyle name="Input 24 3" xfId="7957"/>
    <cellStyle name="Input 25" xfId="4205"/>
    <cellStyle name="Input 25 2" xfId="6478"/>
    <cellStyle name="Input 25 2 2" xfId="8922"/>
    <cellStyle name="Input 25 3" xfId="7955"/>
    <cellStyle name="Input 26" xfId="4206"/>
    <cellStyle name="Input 26 2" xfId="6479"/>
    <cellStyle name="Input 26 2 2" xfId="8923"/>
    <cellStyle name="Input 26 3" xfId="7956"/>
    <cellStyle name="Input 27" xfId="4203"/>
    <cellStyle name="Input 27 2" xfId="6476"/>
    <cellStyle name="Input 27 2 2" xfId="8920"/>
    <cellStyle name="Input 27 3" xfId="7953"/>
    <cellStyle name="Input 28" xfId="4297"/>
    <cellStyle name="Input 28 2" xfId="6570"/>
    <cellStyle name="Input 28 2 2" xfId="8925"/>
    <cellStyle name="Input 28 3" xfId="7958"/>
    <cellStyle name="Input 29" xfId="4299"/>
    <cellStyle name="Input 29 2" xfId="6572"/>
    <cellStyle name="Input 29 2 2" xfId="8927"/>
    <cellStyle name="Input 29 3" xfId="7960"/>
    <cellStyle name="Input 3" xfId="2347"/>
    <cellStyle name="Input 3 2" xfId="3403"/>
    <cellStyle name="Input 3 2 2" xfId="5676"/>
    <cellStyle name="Input 3 2 2 2" xfId="8382"/>
    <cellStyle name="Input 3 2 3" xfId="7415"/>
    <cellStyle name="Input 3 3" xfId="3182"/>
    <cellStyle name="Input 3 3 2" xfId="5455"/>
    <cellStyle name="Input 3 3 2 2" xfId="8247"/>
    <cellStyle name="Input 3 3 3" xfId="7280"/>
    <cellStyle name="Input 3 4" xfId="3627"/>
    <cellStyle name="Input 3 4 2" xfId="5900"/>
    <cellStyle name="Input 3 4 2 2" xfId="8520"/>
    <cellStyle name="Input 3 4 3" xfId="7553"/>
    <cellStyle name="Input 3 5" xfId="3775"/>
    <cellStyle name="Input 3 5 2" xfId="6048"/>
    <cellStyle name="Input 3 5 2 2" xfId="8666"/>
    <cellStyle name="Input 3 5 3" xfId="7699"/>
    <cellStyle name="Input 3 6" xfId="3768"/>
    <cellStyle name="Input 3 6 2" xfId="6041"/>
    <cellStyle name="Input 3 6 2 2" xfId="8659"/>
    <cellStyle name="Input 3 6 3" xfId="7692"/>
    <cellStyle name="Input 3 7" xfId="4581"/>
    <cellStyle name="Input 3 7 2" xfId="7976"/>
    <cellStyle name="Input 3 8" xfId="7009"/>
    <cellStyle name="Input 30" xfId="4298"/>
    <cellStyle name="Input 30 2" xfId="6571"/>
    <cellStyle name="Input 30 2 2" xfId="8926"/>
    <cellStyle name="Input 30 3" xfId="7959"/>
    <cellStyle name="Input 31" xfId="4389"/>
    <cellStyle name="Input 31 2" xfId="6662"/>
    <cellStyle name="Input 31 2 2" xfId="8928"/>
    <cellStyle name="Input 31 3" xfId="7962"/>
    <cellStyle name="Input 32" xfId="2207"/>
    <cellStyle name="Input 32 2" xfId="6872"/>
    <cellStyle name="Input 33" xfId="4482"/>
    <cellStyle name="Input 33 2" xfId="7966"/>
    <cellStyle name="Input 34" xfId="2333"/>
    <cellStyle name="Input 34 2" xfId="6998"/>
    <cellStyle name="Input 35" xfId="6754"/>
    <cellStyle name="Input 35 2" xfId="8929"/>
    <cellStyle name="Input 36" xfId="2098"/>
    <cellStyle name="Input 37" xfId="7961"/>
    <cellStyle name="Input 38" xfId="7149"/>
    <cellStyle name="Input 39" xfId="7148"/>
    <cellStyle name="Input 4" xfId="2510"/>
    <cellStyle name="Input 4 2" xfId="4788"/>
    <cellStyle name="Input 4 2 2" xfId="8108"/>
    <cellStyle name="Input 4 3" xfId="7141"/>
    <cellStyle name="Input 40" xfId="8114"/>
    <cellStyle name="Input 41" xfId="8113"/>
    <cellStyle name="Input 42" xfId="8932"/>
    <cellStyle name="Input 43" xfId="8933"/>
    <cellStyle name="Input 44" xfId="11561"/>
    <cellStyle name="Input 45" xfId="11645"/>
    <cellStyle name="Input 46" xfId="11551"/>
    <cellStyle name="Input 47" xfId="11550"/>
    <cellStyle name="Input 5" xfId="2511"/>
    <cellStyle name="Input 5 2" xfId="4789"/>
    <cellStyle name="Input 5 2 2" xfId="8109"/>
    <cellStyle name="Input 5 3" xfId="7142"/>
    <cellStyle name="Input 6" xfId="2601"/>
    <cellStyle name="Input 6 2" xfId="4879"/>
    <cellStyle name="Input 6 2 2" xfId="8110"/>
    <cellStyle name="Input 6 3" xfId="7143"/>
    <cellStyle name="Input 7" xfId="2691"/>
    <cellStyle name="Input 7 2" xfId="4969"/>
    <cellStyle name="Input 7 2 2" xfId="8111"/>
    <cellStyle name="Input 7 3" xfId="7144"/>
    <cellStyle name="Input 8" xfId="2786"/>
    <cellStyle name="Input 8 2" xfId="5059"/>
    <cellStyle name="Input 8 2 2" xfId="8112"/>
    <cellStyle name="Input 8 3" xfId="7145"/>
    <cellStyle name="Input 9" xfId="2876"/>
    <cellStyle name="Input 9 2" xfId="5149"/>
    <cellStyle name="Input 9 2 2" xfId="8115"/>
    <cellStyle name="Input 9 3" xfId="7146"/>
    <cellStyle name="J401K" xfId="532"/>
    <cellStyle name="J401K 2" xfId="533"/>
    <cellStyle name="Link Currency (0)" xfId="534"/>
    <cellStyle name="Link Currency (2)" xfId="535"/>
    <cellStyle name="Link Units (0)" xfId="536"/>
    <cellStyle name="Link Units (1)" xfId="537"/>
    <cellStyle name="Link Units (2)" xfId="538"/>
    <cellStyle name="Linked Cell" xfId="539"/>
    <cellStyle name="Linked Cell 2" xfId="540"/>
    <cellStyle name="Millares [0]_Compra" xfId="541"/>
    <cellStyle name="Millares_Compra" xfId="542"/>
    <cellStyle name="Milliers [0]_!!!GO" xfId="543"/>
    <cellStyle name="Milliers_!!!GO" xfId="544"/>
    <cellStyle name="Moneda [0]_Compra" xfId="545"/>
    <cellStyle name="Moneda_Compra" xfId="546"/>
    <cellStyle name="Mon騁aire [0]_!!!GO" xfId="547"/>
    <cellStyle name="Mon騁aire_!!!GO" xfId="548"/>
    <cellStyle name="Neutral" xfId="549"/>
    <cellStyle name="Neutral 2" xfId="550"/>
    <cellStyle name="no dec" xfId="551"/>
    <cellStyle name="Normal - Style1" xfId="552"/>
    <cellStyle name="Normal - Style1 2" xfId="553"/>
    <cellStyle name="Normal - Style1 2 2" xfId="554"/>
    <cellStyle name="Normal - Style1 2 2 2" xfId="555"/>
    <cellStyle name="Normal - Style1 2 2 2 2" xfId="556"/>
    <cellStyle name="Normal - Style1 2 2 2 2 2" xfId="557"/>
    <cellStyle name="Normal - Style1 2 2 2 2 3" xfId="558"/>
    <cellStyle name="Normal - Style1 2 2 3" xfId="559"/>
    <cellStyle name="Normal - Style1 2 2 3 2" xfId="560"/>
    <cellStyle name="Normal - Style1 2 2 3 3" xfId="561"/>
    <cellStyle name="Normal - Style1 2 3" xfId="562"/>
    <cellStyle name="Normal - Style1 2 3 2" xfId="563"/>
    <cellStyle name="Normal - Style1 2 3 2 2" xfId="564"/>
    <cellStyle name="Normal - Style1 2 3 2 3" xfId="565"/>
    <cellStyle name="Normal - Style1 3" xfId="566"/>
    <cellStyle name="Normal - Style1 3 2" xfId="567"/>
    <cellStyle name="Normal - Style1 3 2 2" xfId="568"/>
    <cellStyle name="Normal - Style1 3 2 3" xfId="569"/>
    <cellStyle name="Normal - Style1 4" xfId="570"/>
    <cellStyle name="Normal - Style1 4 2" xfId="571"/>
    <cellStyle name="Normal - Style1 4 2 2" xfId="572"/>
    <cellStyle name="Normal - Style1 4 2 3" xfId="573"/>
    <cellStyle name="Normal - Style1 5" xfId="574"/>
    <cellStyle name="Normal - Style1 5 2" xfId="575"/>
    <cellStyle name="Normal - Style1 5 2 2" xfId="576"/>
    <cellStyle name="Normal - Style1 5 2 3" xfId="577"/>
    <cellStyle name="Normal - Style1 6" xfId="578"/>
    <cellStyle name="Normal - Style1 6 2" xfId="579"/>
    <cellStyle name="Normal - Style1 6 3" xfId="580"/>
    <cellStyle name="Normal - Style1 7" xfId="581"/>
    <cellStyle name="Normal - Style1_【抜粋】東証デリバ_質問・課題管理表_20111012" xfId="582"/>
    <cellStyle name="Normal 2" xfId="583"/>
    <cellStyle name="Normal_!!!GO" xfId="584"/>
    <cellStyle name="Note" xfId="585"/>
    <cellStyle name="Note 2" xfId="586"/>
    <cellStyle name="Note 2 2" xfId="587"/>
    <cellStyle name="Note 2 2 2" xfId="3406"/>
    <cellStyle name="Note 2 2 2 2" xfId="5679"/>
    <cellStyle name="Note 2 2 2 2 2" xfId="8385"/>
    <cellStyle name="Note 2 2 2 3" xfId="7418"/>
    <cellStyle name="Note 2 2 3" xfId="3389"/>
    <cellStyle name="Note 2 2 3 2" xfId="5662"/>
    <cellStyle name="Note 2 2 3 2 2" xfId="8378"/>
    <cellStyle name="Note 2 2 3 3" xfId="7411"/>
    <cellStyle name="Note 2 2 4" xfId="3630"/>
    <cellStyle name="Note 2 2 4 2" xfId="5903"/>
    <cellStyle name="Note 2 2 4 2 2" xfId="8523"/>
    <cellStyle name="Note 2 2 4 3" xfId="7556"/>
    <cellStyle name="Note 2 2 5" xfId="4034"/>
    <cellStyle name="Note 2 2 5 2" xfId="6307"/>
    <cellStyle name="Note 2 2 5 2 2" xfId="8888"/>
    <cellStyle name="Note 2 2 5 3" xfId="7921"/>
    <cellStyle name="Note 2 2 6" xfId="3920"/>
    <cellStyle name="Note 2 2 6 2" xfId="6193"/>
    <cellStyle name="Note 2 2 6 2 2" xfId="8811"/>
    <cellStyle name="Note 2 2 6 3" xfId="7844"/>
    <cellStyle name="Note 2 2 7" xfId="4585"/>
    <cellStyle name="Note 2 2 7 2" xfId="7980"/>
    <cellStyle name="Note 2 2 8" xfId="7013"/>
    <cellStyle name="Note 2 3" xfId="3075"/>
    <cellStyle name="Note 2 3 2" xfId="5348"/>
    <cellStyle name="Note 2 3 2 2" xfId="8140"/>
    <cellStyle name="Note 2 3 3" xfId="7173"/>
    <cellStyle name="Note 2 4" xfId="2211"/>
    <cellStyle name="Note 2 4 2" xfId="6876"/>
    <cellStyle name="Note 2 5" xfId="1983"/>
    <cellStyle name="Note 3" xfId="588"/>
    <cellStyle name="Note 3 2" xfId="589"/>
    <cellStyle name="Note 3 2 2" xfId="3533"/>
    <cellStyle name="Note 3 2 2 2" xfId="5806"/>
    <cellStyle name="Note 3 2 2 2 2" xfId="8510"/>
    <cellStyle name="Note 3 2 2 3" xfId="7543"/>
    <cellStyle name="Note 3 2 3" xfId="3343"/>
    <cellStyle name="Note 3 2 3 2" xfId="5616"/>
    <cellStyle name="Note 3 2 3 2 2" xfId="8371"/>
    <cellStyle name="Note 3 2 3 3" xfId="7404"/>
    <cellStyle name="Note 3 2 4" xfId="3755"/>
    <cellStyle name="Note 3 2 4 2" xfId="6028"/>
    <cellStyle name="Note 3 2 4 2 2" xfId="8648"/>
    <cellStyle name="Note 3 2 4 3" xfId="7681"/>
    <cellStyle name="Note 3 2 5" xfId="3918"/>
    <cellStyle name="Note 3 2 5 2" xfId="6191"/>
    <cellStyle name="Note 3 2 5 2 2" xfId="8809"/>
    <cellStyle name="Note 3 2 5 3" xfId="7842"/>
    <cellStyle name="Note 3 2 6" xfId="3834"/>
    <cellStyle name="Note 3 2 6 2" xfId="6107"/>
    <cellStyle name="Note 3 2 6 2 2" xfId="8725"/>
    <cellStyle name="Note 3 2 6 3" xfId="7758"/>
    <cellStyle name="Note 3 2 7" xfId="4714"/>
    <cellStyle name="Note 3 2 7 2" xfId="8107"/>
    <cellStyle name="Note 3 2 8" xfId="7140"/>
    <cellStyle name="Note 3 3" xfId="3176"/>
    <cellStyle name="Note 3 3 2" xfId="5449"/>
    <cellStyle name="Note 3 3 2 2" xfId="8241"/>
    <cellStyle name="Note 3 3 3" xfId="7274"/>
    <cellStyle name="Note 3 4" xfId="2339"/>
    <cellStyle name="Note 3 4 2" xfId="7004"/>
    <cellStyle name="Note 3 5" xfId="2107"/>
    <cellStyle name="Note 4" xfId="590"/>
    <cellStyle name="Note 4 2" xfId="591"/>
    <cellStyle name="Note 4 2 2" xfId="3405"/>
    <cellStyle name="Note 4 2 2 2" xfId="5678"/>
    <cellStyle name="Note 4 2 2 2 2" xfId="8384"/>
    <cellStyle name="Note 4 2 2 3" xfId="7417"/>
    <cellStyle name="Note 4 2 3" xfId="3388"/>
    <cellStyle name="Note 4 2 3 2" xfId="5661"/>
    <cellStyle name="Note 4 2 3 2 2" xfId="8377"/>
    <cellStyle name="Note 4 2 3 3" xfId="7410"/>
    <cellStyle name="Note 4 2 4" xfId="3629"/>
    <cellStyle name="Note 4 2 4 2" xfId="5902"/>
    <cellStyle name="Note 4 2 4 2 2" xfId="8522"/>
    <cellStyle name="Note 4 2 4 3" xfId="7555"/>
    <cellStyle name="Note 4 2 5" xfId="3866"/>
    <cellStyle name="Note 4 2 5 2" xfId="6139"/>
    <cellStyle name="Note 4 2 5 2 2" xfId="8757"/>
    <cellStyle name="Note 4 2 5 3" xfId="7790"/>
    <cellStyle name="Note 4 2 6" xfId="4094"/>
    <cellStyle name="Note 4 2 6 2" xfId="6367"/>
    <cellStyle name="Note 4 2 6 2 2" xfId="8899"/>
    <cellStyle name="Note 4 2 6 3" xfId="7932"/>
    <cellStyle name="Note 4 2 7" xfId="4584"/>
    <cellStyle name="Note 4 2 7 2" xfId="7979"/>
    <cellStyle name="Note 4 2 8" xfId="7012"/>
    <cellStyle name="Note 4 3" xfId="3074"/>
    <cellStyle name="Note 4 3 2" xfId="5347"/>
    <cellStyle name="Note 4 3 2 2" xfId="8139"/>
    <cellStyle name="Note 4 3 3" xfId="7172"/>
    <cellStyle name="Note 4 4" xfId="2210"/>
    <cellStyle name="Note 4 4 2" xfId="6875"/>
    <cellStyle name="Note 4 5" xfId="1982"/>
    <cellStyle name="Note 5" xfId="592"/>
    <cellStyle name="Note 5 2" xfId="3400"/>
    <cellStyle name="Note 5 2 2" xfId="5673"/>
    <cellStyle name="Note 5 2 2 2" xfId="8379"/>
    <cellStyle name="Note 5 2 3" xfId="7412"/>
    <cellStyle name="Note 5 3" xfId="3177"/>
    <cellStyle name="Note 5 3 2" xfId="5450"/>
    <cellStyle name="Note 5 3 2 2" xfId="8242"/>
    <cellStyle name="Note 5 3 3" xfId="7275"/>
    <cellStyle name="Note 5 4" xfId="3624"/>
    <cellStyle name="Note 5 4 2" xfId="5897"/>
    <cellStyle name="Note 5 4 2 2" xfId="8517"/>
    <cellStyle name="Note 5 4 3" xfId="7550"/>
    <cellStyle name="Note 5 5" xfId="4033"/>
    <cellStyle name="Note 5 5 2" xfId="6306"/>
    <cellStyle name="Note 5 5 2 2" xfId="8887"/>
    <cellStyle name="Note 5 5 3" xfId="7920"/>
    <cellStyle name="Note 5 6" xfId="3863"/>
    <cellStyle name="Note 5 6 2" xfId="6136"/>
    <cellStyle name="Note 5 6 2 2" xfId="8754"/>
    <cellStyle name="Note 5 6 3" xfId="7787"/>
    <cellStyle name="Note 5 7" xfId="4575"/>
    <cellStyle name="Note 5 7 2" xfId="7970"/>
    <cellStyle name="Note 5 8" xfId="7005"/>
    <cellStyle name="Note 6" xfId="3622"/>
    <cellStyle name="Note 6 2" xfId="5895"/>
    <cellStyle name="Note 6 2 2" xfId="8515"/>
    <cellStyle name="Note 6 3" xfId="7548"/>
    <cellStyle name="Note 7" xfId="2201"/>
    <cellStyle name="Note 7 2" xfId="6866"/>
    <cellStyle name="Note 8" xfId="1977"/>
    <cellStyle name="Output" xfId="593"/>
    <cellStyle name="Output 2" xfId="594"/>
    <cellStyle name="Output 2 2" xfId="2350"/>
    <cellStyle name="Output 2 2 2" xfId="3408"/>
    <cellStyle name="Output 2 2 2 2" xfId="5681"/>
    <cellStyle name="Output 2 2 2 2 2" xfId="8387"/>
    <cellStyle name="Output 2 2 2 3" xfId="7420"/>
    <cellStyle name="Output 2 2 3" xfId="3179"/>
    <cellStyle name="Output 2 2 3 2" xfId="5452"/>
    <cellStyle name="Output 2 2 3 2 2" xfId="8244"/>
    <cellStyle name="Output 2 2 3 3" xfId="7277"/>
    <cellStyle name="Output 2 2 4" xfId="3632"/>
    <cellStyle name="Output 2 2 4 2" xfId="5905"/>
    <cellStyle name="Output 2 2 4 2 2" xfId="8525"/>
    <cellStyle name="Output 2 2 4 3" xfId="7558"/>
    <cellStyle name="Output 2 2 5" xfId="4041"/>
    <cellStyle name="Output 2 2 5 2" xfId="6314"/>
    <cellStyle name="Output 2 2 5 2 2" xfId="8895"/>
    <cellStyle name="Output 2 2 5 3" xfId="7928"/>
    <cellStyle name="Output 2 2 6" xfId="3803"/>
    <cellStyle name="Output 2 2 6 2" xfId="6076"/>
    <cellStyle name="Output 2 2 6 2 2" xfId="8694"/>
    <cellStyle name="Output 2 2 6 3" xfId="7727"/>
    <cellStyle name="Output 2 2 7" xfId="4587"/>
    <cellStyle name="Output 2 2 7 2" xfId="7982"/>
    <cellStyle name="Output 2 2 8" xfId="7015"/>
    <cellStyle name="Output 2 3" xfId="3077"/>
    <cellStyle name="Output 2 3 2" xfId="5350"/>
    <cellStyle name="Output 2 3 2 2" xfId="8142"/>
    <cellStyle name="Output 2 3 3" xfId="7175"/>
    <cellStyle name="Output 2 4" xfId="2213"/>
    <cellStyle name="Output 2 4 2" xfId="6878"/>
    <cellStyle name="Output 2 5" xfId="1985"/>
    <cellStyle name="Output 3" xfId="2349"/>
    <cellStyle name="Output 3 2" xfId="3407"/>
    <cellStyle name="Output 3 2 2" xfId="5680"/>
    <cellStyle name="Output 3 2 2 2" xfId="8386"/>
    <cellStyle name="Output 3 2 3" xfId="7419"/>
    <cellStyle name="Output 3 3" xfId="3178"/>
    <cellStyle name="Output 3 3 2" xfId="5451"/>
    <cellStyle name="Output 3 3 2 2" xfId="8243"/>
    <cellStyle name="Output 3 3 3" xfId="7276"/>
    <cellStyle name="Output 3 4" xfId="3631"/>
    <cellStyle name="Output 3 4 2" xfId="5904"/>
    <cellStyle name="Output 3 4 2 2" xfId="8524"/>
    <cellStyle name="Output 3 4 3" xfId="7557"/>
    <cellStyle name="Output 3 5" xfId="3874"/>
    <cellStyle name="Output 3 5 2" xfId="6147"/>
    <cellStyle name="Output 3 5 2 2" xfId="8765"/>
    <cellStyle name="Output 3 5 3" xfId="7798"/>
    <cellStyle name="Output 3 6" xfId="4194"/>
    <cellStyle name="Output 3 6 2" xfId="6467"/>
    <cellStyle name="Output 3 6 2 2" xfId="8913"/>
    <cellStyle name="Output 3 6 3" xfId="7946"/>
    <cellStyle name="Output 3 7" xfId="4586"/>
    <cellStyle name="Output 3 7 2" xfId="7981"/>
    <cellStyle name="Output 3 8" xfId="7014"/>
    <cellStyle name="Output 4" xfId="3076"/>
    <cellStyle name="Output 4 2" xfId="5349"/>
    <cellStyle name="Output 4 2 2" xfId="8141"/>
    <cellStyle name="Output 4 3" xfId="7174"/>
    <cellStyle name="Output 5" xfId="2212"/>
    <cellStyle name="Output 5 2" xfId="6877"/>
    <cellStyle name="Output 6" xfId="1984"/>
    <cellStyle name="per.style" xfId="595"/>
    <cellStyle name="Percent (0)" xfId="596"/>
    <cellStyle name="Percent [0]" xfId="597"/>
    <cellStyle name="Percent [00]" xfId="598"/>
    <cellStyle name="Percent [2]" xfId="599"/>
    <cellStyle name="Percent_#6 Temps &amp; Contractors" xfId="600"/>
    <cellStyle name="PrePop Currency (0)" xfId="601"/>
    <cellStyle name="PrePop Currency (2)" xfId="602"/>
    <cellStyle name="PrePop Units (0)" xfId="603"/>
    <cellStyle name="PrePop Units (1)" xfId="604"/>
    <cellStyle name="PrePop Units (2)" xfId="605"/>
    <cellStyle name="price" xfId="606"/>
    <cellStyle name="PSChar" xfId="607"/>
    <cellStyle name="PSDate" xfId="608"/>
    <cellStyle name="PSDec" xfId="609"/>
    <cellStyle name="PSHeading" xfId="610"/>
    <cellStyle name="PSInt" xfId="611"/>
    <cellStyle name="PSSpacer" xfId="612"/>
    <cellStyle name="revised" xfId="613"/>
    <cellStyle name="SAPBEXaggData" xfId="614"/>
    <cellStyle name="SAPBEXaggData 2" xfId="2351"/>
    <cellStyle name="SAPBEXaggData 2 2" xfId="3409"/>
    <cellStyle name="SAPBEXaggData 2 2 2" xfId="5682"/>
    <cellStyle name="SAPBEXaggData 2 2 2 2" xfId="8388"/>
    <cellStyle name="SAPBEXaggData 2 2 3" xfId="7421"/>
    <cellStyle name="SAPBEXaggData 2 3" xfId="3180"/>
    <cellStyle name="SAPBEXaggData 2 3 2" xfId="5453"/>
    <cellStyle name="SAPBEXaggData 2 3 2 2" xfId="8245"/>
    <cellStyle name="SAPBEXaggData 2 3 3" xfId="7278"/>
    <cellStyle name="SAPBEXaggData 2 4" xfId="3633"/>
    <cellStyle name="SAPBEXaggData 2 4 2" xfId="5906"/>
    <cellStyle name="SAPBEXaggData 2 4 2 2" xfId="8526"/>
    <cellStyle name="SAPBEXaggData 2 4 3" xfId="7559"/>
    <cellStyle name="SAPBEXaggData 2 5" xfId="3867"/>
    <cellStyle name="SAPBEXaggData 2 5 2" xfId="6140"/>
    <cellStyle name="SAPBEXaggData 2 5 2 2" xfId="8758"/>
    <cellStyle name="SAPBEXaggData 2 5 3" xfId="7791"/>
    <cellStyle name="SAPBEXaggData 2 6" xfId="3816"/>
    <cellStyle name="SAPBEXaggData 2 6 2" xfId="6089"/>
    <cellStyle name="SAPBEXaggData 2 6 2 2" xfId="8707"/>
    <cellStyle name="SAPBEXaggData 2 6 3" xfId="7740"/>
    <cellStyle name="SAPBEXaggData 2 7" xfId="4588"/>
    <cellStyle name="SAPBEXaggData 2 7 2" xfId="7983"/>
    <cellStyle name="SAPBEXaggData 2 8" xfId="7016"/>
    <cellStyle name="SAPBEXaggData 3" xfId="3078"/>
    <cellStyle name="SAPBEXaggData 3 2" xfId="5351"/>
    <cellStyle name="SAPBEXaggData 3 2 2" xfId="8143"/>
    <cellStyle name="SAPBEXaggData 3 3" xfId="7176"/>
    <cellStyle name="SAPBEXaggData 4" xfId="2214"/>
    <cellStyle name="SAPBEXaggData 4 2" xfId="6879"/>
    <cellStyle name="SAPBEXaggData 5" xfId="1986"/>
    <cellStyle name="SAPBEXaggDataEmph" xfId="615"/>
    <cellStyle name="SAPBEXaggDataEmph 2" xfId="2352"/>
    <cellStyle name="SAPBEXaggDataEmph 2 2" xfId="3410"/>
    <cellStyle name="SAPBEXaggDataEmph 2 2 2" xfId="5683"/>
    <cellStyle name="SAPBEXaggDataEmph 2 2 2 2" xfId="8389"/>
    <cellStyle name="SAPBEXaggDataEmph 2 2 3" xfId="7422"/>
    <cellStyle name="SAPBEXaggDataEmph 2 3" xfId="3181"/>
    <cellStyle name="SAPBEXaggDataEmph 2 3 2" xfId="5454"/>
    <cellStyle name="SAPBEXaggDataEmph 2 3 2 2" xfId="8246"/>
    <cellStyle name="SAPBEXaggDataEmph 2 3 3" xfId="7279"/>
    <cellStyle name="SAPBEXaggDataEmph 2 4" xfId="3634"/>
    <cellStyle name="SAPBEXaggDataEmph 2 4 2" xfId="5907"/>
    <cellStyle name="SAPBEXaggDataEmph 2 4 2 2" xfId="8527"/>
    <cellStyle name="SAPBEXaggDataEmph 2 4 3" xfId="7560"/>
    <cellStyle name="SAPBEXaggDataEmph 2 5" xfId="4035"/>
    <cellStyle name="SAPBEXaggDataEmph 2 5 2" xfId="6308"/>
    <cellStyle name="SAPBEXaggDataEmph 2 5 2 2" xfId="8889"/>
    <cellStyle name="SAPBEXaggDataEmph 2 5 3" xfId="7922"/>
    <cellStyle name="SAPBEXaggDataEmph 2 6" xfId="4003"/>
    <cellStyle name="SAPBEXaggDataEmph 2 6 2" xfId="6276"/>
    <cellStyle name="SAPBEXaggDataEmph 2 6 2 2" xfId="8864"/>
    <cellStyle name="SAPBEXaggDataEmph 2 6 3" xfId="7897"/>
    <cellStyle name="SAPBEXaggDataEmph 2 7" xfId="4589"/>
    <cellStyle name="SAPBEXaggDataEmph 2 7 2" xfId="7984"/>
    <cellStyle name="SAPBEXaggDataEmph 2 8" xfId="7017"/>
    <cellStyle name="SAPBEXaggDataEmph 3" xfId="3079"/>
    <cellStyle name="SAPBEXaggDataEmph 3 2" xfId="5352"/>
    <cellStyle name="SAPBEXaggDataEmph 3 2 2" xfId="8144"/>
    <cellStyle name="SAPBEXaggDataEmph 3 3" xfId="7177"/>
    <cellStyle name="SAPBEXaggDataEmph 4" xfId="2215"/>
    <cellStyle name="SAPBEXaggDataEmph 4 2" xfId="6880"/>
    <cellStyle name="SAPBEXaggDataEmph 5" xfId="1987"/>
    <cellStyle name="SAPBEXaggItem" xfId="616"/>
    <cellStyle name="SAPBEXaggItem 2" xfId="2353"/>
    <cellStyle name="SAPBEXaggItem 2 2" xfId="3411"/>
    <cellStyle name="SAPBEXaggItem 2 2 2" xfId="5684"/>
    <cellStyle name="SAPBEXaggItem 2 2 2 2" xfId="8390"/>
    <cellStyle name="SAPBEXaggItem 2 2 3" xfId="7423"/>
    <cellStyle name="SAPBEXaggItem 2 3" xfId="3191"/>
    <cellStyle name="SAPBEXaggItem 2 3 2" xfId="5464"/>
    <cellStyle name="SAPBEXaggItem 2 3 2 2" xfId="8256"/>
    <cellStyle name="SAPBEXaggItem 2 3 3" xfId="7289"/>
    <cellStyle name="SAPBEXaggItem 2 4" xfId="3635"/>
    <cellStyle name="SAPBEXaggItem 2 4 2" xfId="5908"/>
    <cellStyle name="SAPBEXaggItem 2 4 2 2" xfId="8528"/>
    <cellStyle name="SAPBEXaggItem 2 4 3" xfId="7561"/>
    <cellStyle name="SAPBEXaggItem 2 5" xfId="3848"/>
    <cellStyle name="SAPBEXaggItem 2 5 2" xfId="6121"/>
    <cellStyle name="SAPBEXaggItem 2 5 2 2" xfId="8739"/>
    <cellStyle name="SAPBEXaggItem 2 5 3" xfId="7772"/>
    <cellStyle name="SAPBEXaggItem 2 6" xfId="4193"/>
    <cellStyle name="SAPBEXaggItem 2 6 2" xfId="6466"/>
    <cellStyle name="SAPBEXaggItem 2 6 2 2" xfId="8912"/>
    <cellStyle name="SAPBEXaggItem 2 6 3" xfId="7945"/>
    <cellStyle name="SAPBEXaggItem 2 7" xfId="4590"/>
    <cellStyle name="SAPBEXaggItem 2 7 2" xfId="7985"/>
    <cellStyle name="SAPBEXaggItem 2 8" xfId="7018"/>
    <cellStyle name="SAPBEXaggItem 3" xfId="3080"/>
    <cellStyle name="SAPBEXaggItem 3 2" xfId="5353"/>
    <cellStyle name="SAPBEXaggItem 3 2 2" xfId="8145"/>
    <cellStyle name="SAPBEXaggItem 3 3" xfId="7178"/>
    <cellStyle name="SAPBEXaggItem 4" xfId="2216"/>
    <cellStyle name="SAPBEXaggItem 4 2" xfId="6881"/>
    <cellStyle name="SAPBEXaggItem 5" xfId="1988"/>
    <cellStyle name="SAPBEXaggItemX" xfId="617"/>
    <cellStyle name="SAPBEXaggItemX 2" xfId="2354"/>
    <cellStyle name="SAPBEXaggItemX 2 2" xfId="3412"/>
    <cellStyle name="SAPBEXaggItemX 2 2 2" xfId="5685"/>
    <cellStyle name="SAPBEXaggItemX 2 2 2 2" xfId="8391"/>
    <cellStyle name="SAPBEXaggItemX 2 2 3" xfId="7424"/>
    <cellStyle name="SAPBEXaggItemX 2 3" xfId="3183"/>
    <cellStyle name="SAPBEXaggItemX 2 3 2" xfId="5456"/>
    <cellStyle name="SAPBEXaggItemX 2 3 2 2" xfId="8248"/>
    <cellStyle name="SAPBEXaggItemX 2 3 3" xfId="7281"/>
    <cellStyle name="SAPBEXaggItemX 2 4" xfId="3636"/>
    <cellStyle name="SAPBEXaggItemX 2 4 2" xfId="5909"/>
    <cellStyle name="SAPBEXaggItemX 2 4 2 2" xfId="8529"/>
    <cellStyle name="SAPBEXaggItemX 2 4 3" xfId="7562"/>
    <cellStyle name="SAPBEXaggItemX 2 5" xfId="4040"/>
    <cellStyle name="SAPBEXaggItemX 2 5 2" xfId="6313"/>
    <cellStyle name="SAPBEXaggItemX 2 5 2 2" xfId="8894"/>
    <cellStyle name="SAPBEXaggItemX 2 5 3" xfId="7927"/>
    <cellStyle name="SAPBEXaggItemX 2 6" xfId="4192"/>
    <cellStyle name="SAPBEXaggItemX 2 6 2" xfId="6465"/>
    <cellStyle name="SAPBEXaggItemX 2 6 2 2" xfId="8911"/>
    <cellStyle name="SAPBEXaggItemX 2 6 3" xfId="7944"/>
    <cellStyle name="SAPBEXaggItemX 2 7" xfId="4591"/>
    <cellStyle name="SAPBEXaggItemX 2 7 2" xfId="7986"/>
    <cellStyle name="SAPBEXaggItemX 2 8" xfId="7019"/>
    <cellStyle name="SAPBEXaggItemX 3" xfId="3081"/>
    <cellStyle name="SAPBEXaggItemX 3 2" xfId="5354"/>
    <cellStyle name="SAPBEXaggItemX 3 2 2" xfId="8146"/>
    <cellStyle name="SAPBEXaggItemX 3 3" xfId="7179"/>
    <cellStyle name="SAPBEXaggItemX 4" xfId="2217"/>
    <cellStyle name="SAPBEXaggItemX 4 2" xfId="6882"/>
    <cellStyle name="SAPBEXaggItemX 5" xfId="1989"/>
    <cellStyle name="SAPBEXchaText" xfId="618"/>
    <cellStyle name="SAPBEXexcBad7" xfId="619"/>
    <cellStyle name="SAPBEXexcBad7 2" xfId="2355"/>
    <cellStyle name="SAPBEXexcBad7 2 2" xfId="3413"/>
    <cellStyle name="SAPBEXexcBad7 2 2 2" xfId="5686"/>
    <cellStyle name="SAPBEXexcBad7 2 2 2 2" xfId="8392"/>
    <cellStyle name="SAPBEXexcBad7 2 2 3" xfId="7425"/>
    <cellStyle name="SAPBEXexcBad7 2 3" xfId="3184"/>
    <cellStyle name="SAPBEXexcBad7 2 3 2" xfId="5457"/>
    <cellStyle name="SAPBEXexcBad7 2 3 2 2" xfId="8249"/>
    <cellStyle name="SAPBEXexcBad7 2 3 3" xfId="7282"/>
    <cellStyle name="SAPBEXexcBad7 2 4" xfId="3637"/>
    <cellStyle name="SAPBEXexcBad7 2 4 2" xfId="5910"/>
    <cellStyle name="SAPBEXexcBad7 2 4 2 2" xfId="8530"/>
    <cellStyle name="SAPBEXexcBad7 2 4 3" xfId="7563"/>
    <cellStyle name="SAPBEXexcBad7 2 5" xfId="3770"/>
    <cellStyle name="SAPBEXexcBad7 2 5 2" xfId="6043"/>
    <cellStyle name="SAPBEXexcBad7 2 5 2 2" xfId="8661"/>
    <cellStyle name="SAPBEXexcBad7 2 5 3" xfId="7694"/>
    <cellStyle name="SAPBEXexcBad7 2 6" xfId="3804"/>
    <cellStyle name="SAPBEXexcBad7 2 6 2" xfId="6077"/>
    <cellStyle name="SAPBEXexcBad7 2 6 2 2" xfId="8695"/>
    <cellStyle name="SAPBEXexcBad7 2 6 3" xfId="7728"/>
    <cellStyle name="SAPBEXexcBad7 2 7" xfId="4592"/>
    <cellStyle name="SAPBEXexcBad7 2 7 2" xfId="7987"/>
    <cellStyle name="SAPBEXexcBad7 2 8" xfId="7020"/>
    <cellStyle name="SAPBEXexcBad7 3" xfId="3082"/>
    <cellStyle name="SAPBEXexcBad7 3 2" xfId="5355"/>
    <cellStyle name="SAPBEXexcBad7 3 2 2" xfId="8147"/>
    <cellStyle name="SAPBEXexcBad7 3 3" xfId="7180"/>
    <cellStyle name="SAPBEXexcBad7 4" xfId="2218"/>
    <cellStyle name="SAPBEXexcBad7 4 2" xfId="6883"/>
    <cellStyle name="SAPBEXexcBad7 5" xfId="1990"/>
    <cellStyle name="SAPBEXexcBad8" xfId="620"/>
    <cellStyle name="SAPBEXexcBad8 2" xfId="2356"/>
    <cellStyle name="SAPBEXexcBad8 2 2" xfId="3414"/>
    <cellStyle name="SAPBEXexcBad8 2 2 2" xfId="5687"/>
    <cellStyle name="SAPBEXexcBad8 2 2 2 2" xfId="8393"/>
    <cellStyle name="SAPBEXexcBad8 2 2 3" xfId="7426"/>
    <cellStyle name="SAPBEXexcBad8 2 3" xfId="3185"/>
    <cellStyle name="SAPBEXexcBad8 2 3 2" xfId="5458"/>
    <cellStyle name="SAPBEXexcBad8 2 3 2 2" xfId="8250"/>
    <cellStyle name="SAPBEXexcBad8 2 3 3" xfId="7283"/>
    <cellStyle name="SAPBEXexcBad8 2 4" xfId="3638"/>
    <cellStyle name="SAPBEXexcBad8 2 4 2" xfId="5911"/>
    <cellStyle name="SAPBEXexcBad8 2 4 2 2" xfId="8531"/>
    <cellStyle name="SAPBEXexcBad8 2 4 3" xfId="7564"/>
    <cellStyle name="SAPBEXexcBad8 2 5" xfId="3844"/>
    <cellStyle name="SAPBEXexcBad8 2 5 2" xfId="6117"/>
    <cellStyle name="SAPBEXexcBad8 2 5 2 2" xfId="8735"/>
    <cellStyle name="SAPBEXexcBad8 2 5 3" xfId="7768"/>
    <cellStyle name="SAPBEXexcBad8 2 6" xfId="4007"/>
    <cellStyle name="SAPBEXexcBad8 2 6 2" xfId="6280"/>
    <cellStyle name="SAPBEXexcBad8 2 6 2 2" xfId="8868"/>
    <cellStyle name="SAPBEXexcBad8 2 6 3" xfId="7901"/>
    <cellStyle name="SAPBEXexcBad8 2 7" xfId="4593"/>
    <cellStyle name="SAPBEXexcBad8 2 7 2" xfId="7988"/>
    <cellStyle name="SAPBEXexcBad8 2 8" xfId="7021"/>
    <cellStyle name="SAPBEXexcBad8 3" xfId="3083"/>
    <cellStyle name="SAPBEXexcBad8 3 2" xfId="5356"/>
    <cellStyle name="SAPBEXexcBad8 3 2 2" xfId="8148"/>
    <cellStyle name="SAPBEXexcBad8 3 3" xfId="7181"/>
    <cellStyle name="SAPBEXexcBad8 4" xfId="2219"/>
    <cellStyle name="SAPBEXexcBad8 4 2" xfId="6884"/>
    <cellStyle name="SAPBEXexcBad8 5" xfId="1991"/>
    <cellStyle name="SAPBEXexcBad9" xfId="621"/>
    <cellStyle name="SAPBEXexcBad9 2" xfId="2357"/>
    <cellStyle name="SAPBEXexcBad9 2 2" xfId="3415"/>
    <cellStyle name="SAPBEXexcBad9 2 2 2" xfId="5688"/>
    <cellStyle name="SAPBEXexcBad9 2 2 2 2" xfId="8394"/>
    <cellStyle name="SAPBEXexcBad9 2 2 3" xfId="7427"/>
    <cellStyle name="SAPBEXexcBad9 2 3" xfId="3186"/>
    <cellStyle name="SAPBEXexcBad9 2 3 2" xfId="5459"/>
    <cellStyle name="SAPBEXexcBad9 2 3 2 2" xfId="8251"/>
    <cellStyle name="SAPBEXexcBad9 2 3 3" xfId="7284"/>
    <cellStyle name="SAPBEXexcBad9 2 4" xfId="3639"/>
    <cellStyle name="SAPBEXexcBad9 2 4 2" xfId="5912"/>
    <cellStyle name="SAPBEXexcBad9 2 4 2 2" xfId="8532"/>
    <cellStyle name="SAPBEXexcBad9 2 4 3" xfId="7565"/>
    <cellStyle name="SAPBEXexcBad9 2 5" xfId="3771"/>
    <cellStyle name="SAPBEXexcBad9 2 5 2" xfId="6044"/>
    <cellStyle name="SAPBEXexcBad9 2 5 2 2" xfId="8662"/>
    <cellStyle name="SAPBEXexcBad9 2 5 3" xfId="7695"/>
    <cellStyle name="SAPBEXexcBad9 2 6" xfId="4191"/>
    <cellStyle name="SAPBEXexcBad9 2 6 2" xfId="6464"/>
    <cellStyle name="SAPBEXexcBad9 2 6 2 2" xfId="8910"/>
    <cellStyle name="SAPBEXexcBad9 2 6 3" xfId="7943"/>
    <cellStyle name="SAPBEXexcBad9 2 7" xfId="4594"/>
    <cellStyle name="SAPBEXexcBad9 2 7 2" xfId="7989"/>
    <cellStyle name="SAPBEXexcBad9 2 8" xfId="7022"/>
    <cellStyle name="SAPBEXexcBad9 3" xfId="3084"/>
    <cellStyle name="SAPBEXexcBad9 3 2" xfId="5357"/>
    <cellStyle name="SAPBEXexcBad9 3 2 2" xfId="8149"/>
    <cellStyle name="SAPBEXexcBad9 3 3" xfId="7182"/>
    <cellStyle name="SAPBEXexcBad9 4" xfId="2220"/>
    <cellStyle name="SAPBEXexcBad9 4 2" xfId="6885"/>
    <cellStyle name="SAPBEXexcBad9 5" xfId="1992"/>
    <cellStyle name="SAPBEXexcCritical4" xfId="622"/>
    <cellStyle name="SAPBEXexcCritical4 2" xfId="2358"/>
    <cellStyle name="SAPBEXexcCritical4 2 2" xfId="3416"/>
    <cellStyle name="SAPBEXexcCritical4 2 2 2" xfId="5689"/>
    <cellStyle name="SAPBEXexcCritical4 2 2 2 2" xfId="8395"/>
    <cellStyle name="SAPBEXexcCritical4 2 2 3" xfId="7428"/>
    <cellStyle name="SAPBEXexcCritical4 2 3" xfId="3187"/>
    <cellStyle name="SAPBEXexcCritical4 2 3 2" xfId="5460"/>
    <cellStyle name="SAPBEXexcCritical4 2 3 2 2" xfId="8252"/>
    <cellStyle name="SAPBEXexcCritical4 2 3 3" xfId="7285"/>
    <cellStyle name="SAPBEXexcCritical4 2 4" xfId="3640"/>
    <cellStyle name="SAPBEXexcCritical4 2 4 2" xfId="5913"/>
    <cellStyle name="SAPBEXexcCritical4 2 4 2 2" xfId="8533"/>
    <cellStyle name="SAPBEXexcCritical4 2 4 3" xfId="7566"/>
    <cellStyle name="SAPBEXexcCritical4 2 5" xfId="3845"/>
    <cellStyle name="SAPBEXexcCritical4 2 5 2" xfId="6118"/>
    <cellStyle name="SAPBEXexcCritical4 2 5 2 2" xfId="8736"/>
    <cellStyle name="SAPBEXexcCritical4 2 5 3" xfId="7769"/>
    <cellStyle name="SAPBEXexcCritical4 2 6" xfId="3818"/>
    <cellStyle name="SAPBEXexcCritical4 2 6 2" xfId="6091"/>
    <cellStyle name="SAPBEXexcCritical4 2 6 2 2" xfId="8709"/>
    <cellStyle name="SAPBEXexcCritical4 2 6 3" xfId="7742"/>
    <cellStyle name="SAPBEXexcCritical4 2 7" xfId="4595"/>
    <cellStyle name="SAPBEXexcCritical4 2 7 2" xfId="7990"/>
    <cellStyle name="SAPBEXexcCritical4 2 8" xfId="7023"/>
    <cellStyle name="SAPBEXexcCritical4 3" xfId="3085"/>
    <cellStyle name="SAPBEXexcCritical4 3 2" xfId="5358"/>
    <cellStyle name="SAPBEXexcCritical4 3 2 2" xfId="8150"/>
    <cellStyle name="SAPBEXexcCritical4 3 3" xfId="7183"/>
    <cellStyle name="SAPBEXexcCritical4 4" xfId="2221"/>
    <cellStyle name="SAPBEXexcCritical4 4 2" xfId="6886"/>
    <cellStyle name="SAPBEXexcCritical4 5" xfId="1993"/>
    <cellStyle name="SAPBEXexcCritical5" xfId="623"/>
    <cellStyle name="SAPBEXexcCritical5 2" xfId="2359"/>
    <cellStyle name="SAPBEXexcCritical5 2 2" xfId="3417"/>
    <cellStyle name="SAPBEXexcCritical5 2 2 2" xfId="5690"/>
    <cellStyle name="SAPBEXexcCritical5 2 2 2 2" xfId="8396"/>
    <cellStyle name="SAPBEXexcCritical5 2 2 3" xfId="7429"/>
    <cellStyle name="SAPBEXexcCritical5 2 3" xfId="3188"/>
    <cellStyle name="SAPBEXexcCritical5 2 3 2" xfId="5461"/>
    <cellStyle name="SAPBEXexcCritical5 2 3 2 2" xfId="8253"/>
    <cellStyle name="SAPBEXexcCritical5 2 3 3" xfId="7286"/>
    <cellStyle name="SAPBEXexcCritical5 2 4" xfId="3641"/>
    <cellStyle name="SAPBEXexcCritical5 2 4 2" xfId="5914"/>
    <cellStyle name="SAPBEXexcCritical5 2 4 2 2" xfId="8534"/>
    <cellStyle name="SAPBEXexcCritical5 2 4 3" xfId="7567"/>
    <cellStyle name="SAPBEXexcCritical5 2 5" xfId="3846"/>
    <cellStyle name="SAPBEXexcCritical5 2 5 2" xfId="6119"/>
    <cellStyle name="SAPBEXexcCritical5 2 5 2 2" xfId="8737"/>
    <cellStyle name="SAPBEXexcCritical5 2 5 3" xfId="7770"/>
    <cellStyle name="SAPBEXexcCritical5 2 6" xfId="4190"/>
    <cellStyle name="SAPBEXexcCritical5 2 6 2" xfId="6463"/>
    <cellStyle name="SAPBEXexcCritical5 2 6 2 2" xfId="8909"/>
    <cellStyle name="SAPBEXexcCritical5 2 6 3" xfId="7942"/>
    <cellStyle name="SAPBEXexcCritical5 2 7" xfId="4596"/>
    <cellStyle name="SAPBEXexcCritical5 2 7 2" xfId="7991"/>
    <cellStyle name="SAPBEXexcCritical5 2 8" xfId="7024"/>
    <cellStyle name="SAPBEXexcCritical5 3" xfId="3086"/>
    <cellStyle name="SAPBEXexcCritical5 3 2" xfId="5359"/>
    <cellStyle name="SAPBEXexcCritical5 3 2 2" xfId="8151"/>
    <cellStyle name="SAPBEXexcCritical5 3 3" xfId="7184"/>
    <cellStyle name="SAPBEXexcCritical5 4" xfId="2222"/>
    <cellStyle name="SAPBEXexcCritical5 4 2" xfId="6887"/>
    <cellStyle name="SAPBEXexcCritical5 5" xfId="1994"/>
    <cellStyle name="SAPBEXexcCritical6" xfId="624"/>
    <cellStyle name="SAPBEXexcCritical6 2" xfId="2360"/>
    <cellStyle name="SAPBEXexcCritical6 2 2" xfId="3418"/>
    <cellStyle name="SAPBEXexcCritical6 2 2 2" xfId="5691"/>
    <cellStyle name="SAPBEXexcCritical6 2 2 2 2" xfId="8397"/>
    <cellStyle name="SAPBEXexcCritical6 2 2 3" xfId="7430"/>
    <cellStyle name="SAPBEXexcCritical6 2 3" xfId="3189"/>
    <cellStyle name="SAPBEXexcCritical6 2 3 2" xfId="5462"/>
    <cellStyle name="SAPBEXexcCritical6 2 3 2 2" xfId="8254"/>
    <cellStyle name="SAPBEXexcCritical6 2 3 3" xfId="7287"/>
    <cellStyle name="SAPBEXexcCritical6 2 4" xfId="3642"/>
    <cellStyle name="SAPBEXexcCritical6 2 4 2" xfId="5915"/>
    <cellStyle name="SAPBEXexcCritical6 2 4 2 2" xfId="8535"/>
    <cellStyle name="SAPBEXexcCritical6 2 4 3" xfId="7568"/>
    <cellStyle name="SAPBEXexcCritical6 2 5" xfId="3847"/>
    <cellStyle name="SAPBEXexcCritical6 2 5 2" xfId="6120"/>
    <cellStyle name="SAPBEXexcCritical6 2 5 2 2" xfId="8738"/>
    <cellStyle name="SAPBEXexcCritical6 2 5 3" xfId="7771"/>
    <cellStyle name="SAPBEXexcCritical6 2 6" xfId="3972"/>
    <cellStyle name="SAPBEXexcCritical6 2 6 2" xfId="6245"/>
    <cellStyle name="SAPBEXexcCritical6 2 6 2 2" xfId="8863"/>
    <cellStyle name="SAPBEXexcCritical6 2 6 3" xfId="7896"/>
    <cellStyle name="SAPBEXexcCritical6 2 7" xfId="4597"/>
    <cellStyle name="SAPBEXexcCritical6 2 7 2" xfId="7992"/>
    <cellStyle name="SAPBEXexcCritical6 2 8" xfId="7025"/>
    <cellStyle name="SAPBEXexcCritical6 3" xfId="3087"/>
    <cellStyle name="SAPBEXexcCritical6 3 2" xfId="5360"/>
    <cellStyle name="SAPBEXexcCritical6 3 2 2" xfId="8152"/>
    <cellStyle name="SAPBEXexcCritical6 3 3" xfId="7185"/>
    <cellStyle name="SAPBEXexcCritical6 4" xfId="2223"/>
    <cellStyle name="SAPBEXexcCritical6 4 2" xfId="6888"/>
    <cellStyle name="SAPBEXexcCritical6 5" xfId="1995"/>
    <cellStyle name="SAPBEXexcGood1" xfId="625"/>
    <cellStyle name="SAPBEXexcGood1 2" xfId="2361"/>
    <cellStyle name="SAPBEXexcGood1 2 2" xfId="3419"/>
    <cellStyle name="SAPBEXexcGood1 2 2 2" xfId="5692"/>
    <cellStyle name="SAPBEXexcGood1 2 2 2 2" xfId="8398"/>
    <cellStyle name="SAPBEXexcGood1 2 2 3" xfId="7431"/>
    <cellStyle name="SAPBEXexcGood1 2 3" xfId="3190"/>
    <cellStyle name="SAPBEXexcGood1 2 3 2" xfId="5463"/>
    <cellStyle name="SAPBEXexcGood1 2 3 2 2" xfId="8255"/>
    <cellStyle name="SAPBEXexcGood1 2 3 3" xfId="7288"/>
    <cellStyle name="SAPBEXexcGood1 2 4" xfId="3643"/>
    <cellStyle name="SAPBEXexcGood1 2 4 2" xfId="5916"/>
    <cellStyle name="SAPBEXexcGood1 2 4 2 2" xfId="8536"/>
    <cellStyle name="SAPBEXexcGood1 2 4 3" xfId="7569"/>
    <cellStyle name="SAPBEXexcGood1 2 5" xfId="3849"/>
    <cellStyle name="SAPBEXexcGood1 2 5 2" xfId="6122"/>
    <cellStyle name="SAPBEXexcGood1 2 5 2 2" xfId="8740"/>
    <cellStyle name="SAPBEXexcGood1 2 5 3" xfId="7773"/>
    <cellStyle name="SAPBEXexcGood1 2 6" xfId="3839"/>
    <cellStyle name="SAPBEXexcGood1 2 6 2" xfId="6112"/>
    <cellStyle name="SAPBEXexcGood1 2 6 2 2" xfId="8730"/>
    <cellStyle name="SAPBEXexcGood1 2 6 3" xfId="7763"/>
    <cellStyle name="SAPBEXexcGood1 2 7" xfId="4598"/>
    <cellStyle name="SAPBEXexcGood1 2 7 2" xfId="7993"/>
    <cellStyle name="SAPBEXexcGood1 2 8" xfId="7026"/>
    <cellStyle name="SAPBEXexcGood1 3" xfId="3088"/>
    <cellStyle name="SAPBEXexcGood1 3 2" xfId="5361"/>
    <cellStyle name="SAPBEXexcGood1 3 2 2" xfId="8153"/>
    <cellStyle name="SAPBEXexcGood1 3 3" xfId="7186"/>
    <cellStyle name="SAPBEXexcGood1 4" xfId="2224"/>
    <cellStyle name="SAPBEXexcGood1 4 2" xfId="6889"/>
    <cellStyle name="SAPBEXexcGood1 5" xfId="1996"/>
    <cellStyle name="SAPBEXexcGood2" xfId="626"/>
    <cellStyle name="SAPBEXexcGood2 2" xfId="2362"/>
    <cellStyle name="SAPBEXexcGood2 2 2" xfId="3420"/>
    <cellStyle name="SAPBEXexcGood2 2 2 2" xfId="5693"/>
    <cellStyle name="SAPBEXexcGood2 2 2 2 2" xfId="8399"/>
    <cellStyle name="SAPBEXexcGood2 2 2 3" xfId="7432"/>
    <cellStyle name="SAPBEXexcGood2 2 3" xfId="3199"/>
    <cellStyle name="SAPBEXexcGood2 2 3 2" xfId="5472"/>
    <cellStyle name="SAPBEXexcGood2 2 3 2 2" xfId="8264"/>
    <cellStyle name="SAPBEXexcGood2 2 3 3" xfId="7297"/>
    <cellStyle name="SAPBEXexcGood2 2 4" xfId="3644"/>
    <cellStyle name="SAPBEXexcGood2 2 4 2" xfId="5917"/>
    <cellStyle name="SAPBEXexcGood2 2 4 2 2" xfId="8537"/>
    <cellStyle name="SAPBEXexcGood2 2 4 3" xfId="7570"/>
    <cellStyle name="SAPBEXexcGood2 2 5" xfId="3850"/>
    <cellStyle name="SAPBEXexcGood2 2 5 2" xfId="6123"/>
    <cellStyle name="SAPBEXexcGood2 2 5 2 2" xfId="8741"/>
    <cellStyle name="SAPBEXexcGood2 2 5 3" xfId="7774"/>
    <cellStyle name="SAPBEXexcGood2 2 6" xfId="3921"/>
    <cellStyle name="SAPBEXexcGood2 2 6 2" xfId="6194"/>
    <cellStyle name="SAPBEXexcGood2 2 6 2 2" xfId="8812"/>
    <cellStyle name="SAPBEXexcGood2 2 6 3" xfId="7845"/>
    <cellStyle name="SAPBEXexcGood2 2 7" xfId="4599"/>
    <cellStyle name="SAPBEXexcGood2 2 7 2" xfId="7994"/>
    <cellStyle name="SAPBEXexcGood2 2 8" xfId="7027"/>
    <cellStyle name="SAPBEXexcGood2 3" xfId="3089"/>
    <cellStyle name="SAPBEXexcGood2 3 2" xfId="5362"/>
    <cellStyle name="SAPBEXexcGood2 3 2 2" xfId="8154"/>
    <cellStyle name="SAPBEXexcGood2 3 3" xfId="7187"/>
    <cellStyle name="SAPBEXexcGood2 4" xfId="2225"/>
    <cellStyle name="SAPBEXexcGood2 4 2" xfId="6890"/>
    <cellStyle name="SAPBEXexcGood2 5" xfId="1997"/>
    <cellStyle name="SAPBEXexcGood3" xfId="627"/>
    <cellStyle name="SAPBEXexcGood3 2" xfId="2363"/>
    <cellStyle name="SAPBEXexcGood3 2 2" xfId="3421"/>
    <cellStyle name="SAPBEXexcGood3 2 2 2" xfId="5694"/>
    <cellStyle name="SAPBEXexcGood3 2 2 2 2" xfId="8400"/>
    <cellStyle name="SAPBEXexcGood3 2 2 3" xfId="7433"/>
    <cellStyle name="SAPBEXexcGood3 2 3" xfId="3192"/>
    <cellStyle name="SAPBEXexcGood3 2 3 2" xfId="5465"/>
    <cellStyle name="SAPBEXexcGood3 2 3 2 2" xfId="8257"/>
    <cellStyle name="SAPBEXexcGood3 2 3 3" xfId="7290"/>
    <cellStyle name="SAPBEXexcGood3 2 4" xfId="3645"/>
    <cellStyle name="SAPBEXexcGood3 2 4 2" xfId="5918"/>
    <cellStyle name="SAPBEXexcGood3 2 4 2 2" xfId="8538"/>
    <cellStyle name="SAPBEXexcGood3 2 4 3" xfId="7571"/>
    <cellStyle name="SAPBEXexcGood3 2 5" xfId="4018"/>
    <cellStyle name="SAPBEXexcGood3 2 5 2" xfId="6291"/>
    <cellStyle name="SAPBEXexcGood3 2 5 2 2" xfId="8879"/>
    <cellStyle name="SAPBEXexcGood3 2 5 3" xfId="7912"/>
    <cellStyle name="SAPBEXexcGood3 2 6" xfId="3784"/>
    <cellStyle name="SAPBEXexcGood3 2 6 2" xfId="6057"/>
    <cellStyle name="SAPBEXexcGood3 2 6 2 2" xfId="8675"/>
    <cellStyle name="SAPBEXexcGood3 2 6 3" xfId="7708"/>
    <cellStyle name="SAPBEXexcGood3 2 7" xfId="4600"/>
    <cellStyle name="SAPBEXexcGood3 2 7 2" xfId="7995"/>
    <cellStyle name="SAPBEXexcGood3 2 8" xfId="7028"/>
    <cellStyle name="SAPBEXexcGood3 3" xfId="3090"/>
    <cellStyle name="SAPBEXexcGood3 3 2" xfId="5363"/>
    <cellStyle name="SAPBEXexcGood3 3 2 2" xfId="8155"/>
    <cellStyle name="SAPBEXexcGood3 3 3" xfId="7188"/>
    <cellStyle name="SAPBEXexcGood3 4" xfId="2226"/>
    <cellStyle name="SAPBEXexcGood3 4 2" xfId="6891"/>
    <cellStyle name="SAPBEXexcGood3 5" xfId="1998"/>
    <cellStyle name="SAPBEXfilterDrill" xfId="628"/>
    <cellStyle name="SAPBEXfilterItem" xfId="629"/>
    <cellStyle name="SAPBEXfilterText" xfId="630"/>
    <cellStyle name="SAPBEXformats" xfId="631"/>
    <cellStyle name="SAPBEXformats 2" xfId="2364"/>
    <cellStyle name="SAPBEXformats 2 2" xfId="3422"/>
    <cellStyle name="SAPBEXformats 2 2 2" xfId="5695"/>
    <cellStyle name="SAPBEXformats 2 2 2 2" xfId="8401"/>
    <cellStyle name="SAPBEXformats 2 2 3" xfId="7434"/>
    <cellStyle name="SAPBEXformats 2 3" xfId="3193"/>
    <cellStyle name="SAPBEXformats 2 3 2" xfId="5466"/>
    <cellStyle name="SAPBEXformats 2 3 2 2" xfId="8258"/>
    <cellStyle name="SAPBEXformats 2 3 3" xfId="7291"/>
    <cellStyle name="SAPBEXformats 2 4" xfId="3646"/>
    <cellStyle name="SAPBEXformats 2 4 2" xfId="5919"/>
    <cellStyle name="SAPBEXformats 2 4 2 2" xfId="8539"/>
    <cellStyle name="SAPBEXformats 2 4 3" xfId="7572"/>
    <cellStyle name="SAPBEXformats 2 5" xfId="3851"/>
    <cellStyle name="SAPBEXformats 2 5 2" xfId="6124"/>
    <cellStyle name="SAPBEXformats 2 5 2 2" xfId="8742"/>
    <cellStyle name="SAPBEXformats 2 5 3" xfId="7775"/>
    <cellStyle name="SAPBEXformats 2 6" xfId="3765"/>
    <cellStyle name="SAPBEXformats 2 6 2" xfId="6038"/>
    <cellStyle name="SAPBEXformats 2 6 2 2" xfId="8656"/>
    <cellStyle name="SAPBEXformats 2 6 3" xfId="7689"/>
    <cellStyle name="SAPBEXformats 2 7" xfId="4601"/>
    <cellStyle name="SAPBEXformats 2 7 2" xfId="7996"/>
    <cellStyle name="SAPBEXformats 2 8" xfId="7029"/>
    <cellStyle name="SAPBEXformats 3" xfId="3091"/>
    <cellStyle name="SAPBEXformats 3 2" xfId="5364"/>
    <cellStyle name="SAPBEXformats 3 2 2" xfId="8156"/>
    <cellStyle name="SAPBEXformats 3 3" xfId="7189"/>
    <cellStyle name="SAPBEXformats 4" xfId="2227"/>
    <cellStyle name="SAPBEXformats 4 2" xfId="6892"/>
    <cellStyle name="SAPBEXformats 5" xfId="1999"/>
    <cellStyle name="SAPBEXheaderItem" xfId="632"/>
    <cellStyle name="SAPBEXheaderText" xfId="633"/>
    <cellStyle name="SAPBEXHLevel0" xfId="634"/>
    <cellStyle name="SAPBEXHLevel0 2" xfId="2365"/>
    <cellStyle name="SAPBEXHLevel0 2 2" xfId="3423"/>
    <cellStyle name="SAPBEXHLevel0 2 2 2" xfId="5696"/>
    <cellStyle name="SAPBEXHLevel0 2 2 2 2" xfId="8402"/>
    <cellStyle name="SAPBEXHLevel0 2 2 3" xfId="7435"/>
    <cellStyle name="SAPBEXHLevel0 2 3" xfId="3194"/>
    <cellStyle name="SAPBEXHLevel0 2 3 2" xfId="5467"/>
    <cellStyle name="SAPBEXHLevel0 2 3 2 2" xfId="8259"/>
    <cellStyle name="SAPBEXHLevel0 2 3 3" xfId="7292"/>
    <cellStyle name="SAPBEXHLevel0 2 4" xfId="3647"/>
    <cellStyle name="SAPBEXHLevel0 2 4 2" xfId="5920"/>
    <cellStyle name="SAPBEXHLevel0 2 4 2 2" xfId="8540"/>
    <cellStyle name="SAPBEXHLevel0 2 4 3" xfId="7573"/>
    <cellStyle name="SAPBEXHLevel0 2 5" xfId="4019"/>
    <cellStyle name="SAPBEXHLevel0 2 5 2" xfId="6292"/>
    <cellStyle name="SAPBEXHLevel0 2 5 2 2" xfId="8880"/>
    <cellStyle name="SAPBEXHLevel0 2 5 3" xfId="7913"/>
    <cellStyle name="SAPBEXHLevel0 2 6" xfId="3925"/>
    <cellStyle name="SAPBEXHLevel0 2 6 2" xfId="6198"/>
    <cellStyle name="SAPBEXHLevel0 2 6 2 2" xfId="8816"/>
    <cellStyle name="SAPBEXHLevel0 2 6 3" xfId="7849"/>
    <cellStyle name="SAPBEXHLevel0 2 7" xfId="4602"/>
    <cellStyle name="SAPBEXHLevel0 2 7 2" xfId="7997"/>
    <cellStyle name="SAPBEXHLevel0 2 8" xfId="7030"/>
    <cellStyle name="SAPBEXHLevel0 3" xfId="3092"/>
    <cellStyle name="SAPBEXHLevel0 3 2" xfId="5365"/>
    <cellStyle name="SAPBEXHLevel0 3 2 2" xfId="8157"/>
    <cellStyle name="SAPBEXHLevel0 3 3" xfId="7190"/>
    <cellStyle name="SAPBEXHLevel0 4" xfId="2228"/>
    <cellStyle name="SAPBEXHLevel0 4 2" xfId="6893"/>
    <cellStyle name="SAPBEXHLevel0 5" xfId="2000"/>
    <cellStyle name="SAPBEXHLevel0X" xfId="635"/>
    <cellStyle name="SAPBEXHLevel0X 2" xfId="2366"/>
    <cellStyle name="SAPBEXHLevel0X 2 2" xfId="3424"/>
    <cellStyle name="SAPBEXHLevel0X 2 2 2" xfId="5697"/>
    <cellStyle name="SAPBEXHLevel0X 2 2 2 2" xfId="8403"/>
    <cellStyle name="SAPBEXHLevel0X 2 2 3" xfId="7436"/>
    <cellStyle name="SAPBEXHLevel0X 2 3" xfId="3195"/>
    <cellStyle name="SAPBEXHLevel0X 2 3 2" xfId="5468"/>
    <cellStyle name="SAPBEXHLevel0X 2 3 2 2" xfId="8260"/>
    <cellStyle name="SAPBEXHLevel0X 2 3 3" xfId="7293"/>
    <cellStyle name="SAPBEXHLevel0X 2 4" xfId="3648"/>
    <cellStyle name="SAPBEXHLevel0X 2 4 2" xfId="5921"/>
    <cellStyle name="SAPBEXHLevel0X 2 4 2 2" xfId="8541"/>
    <cellStyle name="SAPBEXHLevel0X 2 4 3" xfId="7574"/>
    <cellStyle name="SAPBEXHLevel0X 2 5" xfId="3852"/>
    <cellStyle name="SAPBEXHLevel0X 2 5 2" xfId="6125"/>
    <cellStyle name="SAPBEXHLevel0X 2 5 2 2" xfId="8743"/>
    <cellStyle name="SAPBEXHLevel0X 2 5 3" xfId="7776"/>
    <cellStyle name="SAPBEXHLevel0X 2 6" xfId="4200"/>
    <cellStyle name="SAPBEXHLevel0X 2 6 2" xfId="6473"/>
    <cellStyle name="SAPBEXHLevel0X 2 6 2 2" xfId="8919"/>
    <cellStyle name="SAPBEXHLevel0X 2 6 3" xfId="7952"/>
    <cellStyle name="SAPBEXHLevel0X 2 7" xfId="4603"/>
    <cellStyle name="SAPBEXHLevel0X 2 7 2" xfId="7998"/>
    <cellStyle name="SAPBEXHLevel0X 2 8" xfId="7031"/>
    <cellStyle name="SAPBEXHLevel0X 3" xfId="3093"/>
    <cellStyle name="SAPBEXHLevel0X 3 2" xfId="5366"/>
    <cellStyle name="SAPBEXHLevel0X 3 2 2" xfId="8158"/>
    <cellStyle name="SAPBEXHLevel0X 3 3" xfId="7191"/>
    <cellStyle name="SAPBEXHLevel0X 4" xfId="2229"/>
    <cellStyle name="SAPBEXHLevel0X 4 2" xfId="6894"/>
    <cellStyle name="SAPBEXHLevel0X 5" xfId="2001"/>
    <cellStyle name="SAPBEXHLevel1" xfId="636"/>
    <cellStyle name="SAPBEXHLevel1 2" xfId="2367"/>
    <cellStyle name="SAPBEXHLevel1 2 2" xfId="3425"/>
    <cellStyle name="SAPBEXHLevel1 2 2 2" xfId="5698"/>
    <cellStyle name="SAPBEXHLevel1 2 2 2 2" xfId="8404"/>
    <cellStyle name="SAPBEXHLevel1 2 2 3" xfId="7437"/>
    <cellStyle name="SAPBEXHLevel1 2 3" xfId="3196"/>
    <cellStyle name="SAPBEXHLevel1 2 3 2" xfId="5469"/>
    <cellStyle name="SAPBEXHLevel1 2 3 2 2" xfId="8261"/>
    <cellStyle name="SAPBEXHLevel1 2 3 3" xfId="7294"/>
    <cellStyle name="SAPBEXHLevel1 2 4" xfId="3649"/>
    <cellStyle name="SAPBEXHLevel1 2 4 2" xfId="5922"/>
    <cellStyle name="SAPBEXHLevel1 2 4 2 2" xfId="8542"/>
    <cellStyle name="SAPBEXHLevel1 2 4 3" xfId="7575"/>
    <cellStyle name="SAPBEXHLevel1 2 5" xfId="3868"/>
    <cellStyle name="SAPBEXHLevel1 2 5 2" xfId="6141"/>
    <cellStyle name="SAPBEXHLevel1 2 5 2 2" xfId="8759"/>
    <cellStyle name="SAPBEXHLevel1 2 5 3" xfId="7792"/>
    <cellStyle name="SAPBEXHLevel1 2 6" xfId="3840"/>
    <cellStyle name="SAPBEXHLevel1 2 6 2" xfId="6113"/>
    <cellStyle name="SAPBEXHLevel1 2 6 2 2" xfId="8731"/>
    <cellStyle name="SAPBEXHLevel1 2 6 3" xfId="7764"/>
    <cellStyle name="SAPBEXHLevel1 2 7" xfId="4604"/>
    <cellStyle name="SAPBEXHLevel1 2 7 2" xfId="7999"/>
    <cellStyle name="SAPBEXHLevel1 2 8" xfId="7032"/>
    <cellStyle name="SAPBEXHLevel1 3" xfId="3094"/>
    <cellStyle name="SAPBEXHLevel1 3 2" xfId="5367"/>
    <cellStyle name="SAPBEXHLevel1 3 2 2" xfId="8159"/>
    <cellStyle name="SAPBEXHLevel1 3 3" xfId="7192"/>
    <cellStyle name="SAPBEXHLevel1 4" xfId="2230"/>
    <cellStyle name="SAPBEXHLevel1 4 2" xfId="6895"/>
    <cellStyle name="SAPBEXHLevel1 5" xfId="2002"/>
    <cellStyle name="SAPBEXHLevel1X" xfId="637"/>
    <cellStyle name="SAPBEXHLevel1X 2" xfId="2368"/>
    <cellStyle name="SAPBEXHLevel1X 2 2" xfId="3426"/>
    <cellStyle name="SAPBEXHLevel1X 2 2 2" xfId="5699"/>
    <cellStyle name="SAPBEXHLevel1X 2 2 2 2" xfId="8405"/>
    <cellStyle name="SAPBEXHLevel1X 2 2 3" xfId="7438"/>
    <cellStyle name="SAPBEXHLevel1X 2 3" xfId="3197"/>
    <cellStyle name="SAPBEXHLevel1X 2 3 2" xfId="5470"/>
    <cellStyle name="SAPBEXHLevel1X 2 3 2 2" xfId="8262"/>
    <cellStyle name="SAPBEXHLevel1X 2 3 3" xfId="7295"/>
    <cellStyle name="SAPBEXHLevel1X 2 4" xfId="3650"/>
    <cellStyle name="SAPBEXHLevel1X 2 4 2" xfId="5923"/>
    <cellStyle name="SAPBEXHLevel1X 2 4 2 2" xfId="8543"/>
    <cellStyle name="SAPBEXHLevel1X 2 4 3" xfId="7576"/>
    <cellStyle name="SAPBEXHLevel1X 2 5" xfId="4036"/>
    <cellStyle name="SAPBEXHLevel1X 2 5 2" xfId="6309"/>
    <cellStyle name="SAPBEXHLevel1X 2 5 2 2" xfId="8890"/>
    <cellStyle name="SAPBEXHLevel1X 2 5 3" xfId="7923"/>
    <cellStyle name="SAPBEXHLevel1X 2 6" xfId="3922"/>
    <cellStyle name="SAPBEXHLevel1X 2 6 2" xfId="6195"/>
    <cellStyle name="SAPBEXHLevel1X 2 6 2 2" xfId="8813"/>
    <cellStyle name="SAPBEXHLevel1X 2 6 3" xfId="7846"/>
    <cellStyle name="SAPBEXHLevel1X 2 7" xfId="4605"/>
    <cellStyle name="SAPBEXHLevel1X 2 7 2" xfId="8000"/>
    <cellStyle name="SAPBEXHLevel1X 2 8" xfId="7033"/>
    <cellStyle name="SAPBEXHLevel1X 3" xfId="3095"/>
    <cellStyle name="SAPBEXHLevel1X 3 2" xfId="5368"/>
    <cellStyle name="SAPBEXHLevel1X 3 2 2" xfId="8160"/>
    <cellStyle name="SAPBEXHLevel1X 3 3" xfId="7193"/>
    <cellStyle name="SAPBEXHLevel1X 4" xfId="2231"/>
    <cellStyle name="SAPBEXHLevel1X 4 2" xfId="6896"/>
    <cellStyle name="SAPBEXHLevel1X 5" xfId="2003"/>
    <cellStyle name="SAPBEXHLevel2" xfId="638"/>
    <cellStyle name="SAPBEXHLevel2 2" xfId="2369"/>
    <cellStyle name="SAPBEXHLevel2 2 2" xfId="3427"/>
    <cellStyle name="SAPBEXHLevel2 2 2 2" xfId="5700"/>
    <cellStyle name="SAPBEXHLevel2 2 2 2 2" xfId="8406"/>
    <cellStyle name="SAPBEXHLevel2 2 2 3" xfId="7439"/>
    <cellStyle name="SAPBEXHLevel2 2 3" xfId="3198"/>
    <cellStyle name="SAPBEXHLevel2 2 3 2" xfId="5471"/>
    <cellStyle name="SAPBEXHLevel2 2 3 2 2" xfId="8263"/>
    <cellStyle name="SAPBEXHLevel2 2 3 3" xfId="7296"/>
    <cellStyle name="SAPBEXHLevel2 2 4" xfId="3651"/>
    <cellStyle name="SAPBEXHLevel2 2 4 2" xfId="5924"/>
    <cellStyle name="SAPBEXHLevel2 2 4 2 2" xfId="8544"/>
    <cellStyle name="SAPBEXHLevel2 2 4 3" xfId="7577"/>
    <cellStyle name="SAPBEXHLevel2 2 5" xfId="3787"/>
    <cellStyle name="SAPBEXHLevel2 2 5 2" xfId="6060"/>
    <cellStyle name="SAPBEXHLevel2 2 5 2 2" xfId="8678"/>
    <cellStyle name="SAPBEXHLevel2 2 5 3" xfId="7711"/>
    <cellStyle name="SAPBEXHLevel2 2 6" xfId="4014"/>
    <cellStyle name="SAPBEXHLevel2 2 6 2" xfId="6287"/>
    <cellStyle name="SAPBEXHLevel2 2 6 2 2" xfId="8875"/>
    <cellStyle name="SAPBEXHLevel2 2 6 3" xfId="7908"/>
    <cellStyle name="SAPBEXHLevel2 2 7" xfId="4606"/>
    <cellStyle name="SAPBEXHLevel2 2 7 2" xfId="8001"/>
    <cellStyle name="SAPBEXHLevel2 2 8" xfId="7034"/>
    <cellStyle name="SAPBEXHLevel2 3" xfId="3096"/>
    <cellStyle name="SAPBEXHLevel2 3 2" xfId="5369"/>
    <cellStyle name="SAPBEXHLevel2 3 2 2" xfId="8161"/>
    <cellStyle name="SAPBEXHLevel2 3 3" xfId="7194"/>
    <cellStyle name="SAPBEXHLevel2 4" xfId="2232"/>
    <cellStyle name="SAPBEXHLevel2 4 2" xfId="6897"/>
    <cellStyle name="SAPBEXHLevel2 5" xfId="2004"/>
    <cellStyle name="SAPBEXHLevel2X" xfId="639"/>
    <cellStyle name="SAPBEXHLevel2X 2" xfId="2370"/>
    <cellStyle name="SAPBEXHLevel2X 2 2" xfId="3428"/>
    <cellStyle name="SAPBEXHLevel2X 2 2 2" xfId="5701"/>
    <cellStyle name="SAPBEXHLevel2X 2 2 2 2" xfId="8407"/>
    <cellStyle name="SAPBEXHLevel2X 2 2 3" xfId="7440"/>
    <cellStyle name="SAPBEXHLevel2X 2 3" xfId="3205"/>
    <cellStyle name="SAPBEXHLevel2X 2 3 2" xfId="5478"/>
    <cellStyle name="SAPBEXHLevel2X 2 3 2 2" xfId="8270"/>
    <cellStyle name="SAPBEXHLevel2X 2 3 3" xfId="7303"/>
    <cellStyle name="SAPBEXHLevel2X 2 4" xfId="3652"/>
    <cellStyle name="SAPBEXHLevel2X 2 4 2" xfId="5925"/>
    <cellStyle name="SAPBEXHLevel2X 2 4 2 2" xfId="8545"/>
    <cellStyle name="SAPBEXHLevel2X 2 4 3" xfId="7578"/>
    <cellStyle name="SAPBEXHLevel2X 2 5" xfId="4039"/>
    <cellStyle name="SAPBEXHLevel2X 2 5 2" xfId="6312"/>
    <cellStyle name="SAPBEXHLevel2X 2 5 2 2" xfId="8893"/>
    <cellStyle name="SAPBEXHLevel2X 2 5 3" xfId="7926"/>
    <cellStyle name="SAPBEXHLevel2X 2 6" xfId="3766"/>
    <cellStyle name="SAPBEXHLevel2X 2 6 2" xfId="6039"/>
    <cellStyle name="SAPBEXHLevel2X 2 6 2 2" xfId="8657"/>
    <cellStyle name="SAPBEXHLevel2X 2 6 3" xfId="7690"/>
    <cellStyle name="SAPBEXHLevel2X 2 7" xfId="4607"/>
    <cellStyle name="SAPBEXHLevel2X 2 7 2" xfId="8002"/>
    <cellStyle name="SAPBEXHLevel2X 2 8" xfId="7035"/>
    <cellStyle name="SAPBEXHLevel2X 3" xfId="3097"/>
    <cellStyle name="SAPBEXHLevel2X 3 2" xfId="5370"/>
    <cellStyle name="SAPBEXHLevel2X 3 2 2" xfId="8162"/>
    <cellStyle name="SAPBEXHLevel2X 3 3" xfId="7195"/>
    <cellStyle name="SAPBEXHLevel2X 4" xfId="2233"/>
    <cellStyle name="SAPBEXHLevel2X 4 2" xfId="6898"/>
    <cellStyle name="SAPBEXHLevel2X 5" xfId="2005"/>
    <cellStyle name="SAPBEXHLevel3" xfId="640"/>
    <cellStyle name="SAPBEXHLevel3 2" xfId="2371"/>
    <cellStyle name="SAPBEXHLevel3 2 2" xfId="3429"/>
    <cellStyle name="SAPBEXHLevel3 2 2 2" xfId="5702"/>
    <cellStyle name="SAPBEXHLevel3 2 2 2 2" xfId="8408"/>
    <cellStyle name="SAPBEXHLevel3 2 2 3" xfId="7441"/>
    <cellStyle name="SAPBEXHLevel3 2 3" xfId="3200"/>
    <cellStyle name="SAPBEXHLevel3 2 3 2" xfId="5473"/>
    <cellStyle name="SAPBEXHLevel3 2 3 2 2" xfId="8265"/>
    <cellStyle name="SAPBEXHLevel3 2 3 3" xfId="7298"/>
    <cellStyle name="SAPBEXHLevel3 2 4" xfId="3653"/>
    <cellStyle name="SAPBEXHLevel3 2 4 2" xfId="5926"/>
    <cellStyle name="SAPBEXHLevel3 2 4 2 2" xfId="8546"/>
    <cellStyle name="SAPBEXHLevel3 2 4 3" xfId="7579"/>
    <cellStyle name="SAPBEXHLevel3 2 5" xfId="3930"/>
    <cellStyle name="SAPBEXHLevel3 2 5 2" xfId="6203"/>
    <cellStyle name="SAPBEXHLevel3 2 5 2 2" xfId="8821"/>
    <cellStyle name="SAPBEXHLevel3 2 5 3" xfId="7854"/>
    <cellStyle name="SAPBEXHLevel3 2 6" xfId="3776"/>
    <cellStyle name="SAPBEXHLevel3 2 6 2" xfId="6049"/>
    <cellStyle name="SAPBEXHLevel3 2 6 2 2" xfId="8667"/>
    <cellStyle name="SAPBEXHLevel3 2 6 3" xfId="7700"/>
    <cellStyle name="SAPBEXHLevel3 2 7" xfId="4608"/>
    <cellStyle name="SAPBEXHLevel3 2 7 2" xfId="8003"/>
    <cellStyle name="SAPBEXHLevel3 2 8" xfId="7036"/>
    <cellStyle name="SAPBEXHLevel3 3" xfId="3098"/>
    <cellStyle name="SAPBEXHLevel3 3 2" xfId="5371"/>
    <cellStyle name="SAPBEXHLevel3 3 2 2" xfId="8163"/>
    <cellStyle name="SAPBEXHLevel3 3 3" xfId="7196"/>
    <cellStyle name="SAPBEXHLevel3 4" xfId="2234"/>
    <cellStyle name="SAPBEXHLevel3 4 2" xfId="6899"/>
    <cellStyle name="SAPBEXHLevel3 5" xfId="2006"/>
    <cellStyle name="SAPBEXHLevel3X" xfId="641"/>
    <cellStyle name="SAPBEXHLevel3X 2" xfId="2372"/>
    <cellStyle name="SAPBEXHLevel3X 2 2" xfId="3430"/>
    <cellStyle name="SAPBEXHLevel3X 2 2 2" xfId="5703"/>
    <cellStyle name="SAPBEXHLevel3X 2 2 2 2" xfId="8409"/>
    <cellStyle name="SAPBEXHLevel3X 2 2 3" xfId="7442"/>
    <cellStyle name="SAPBEXHLevel3X 2 3" xfId="3534"/>
    <cellStyle name="SAPBEXHLevel3X 2 3 2" xfId="5807"/>
    <cellStyle name="SAPBEXHLevel3X 2 3 2 2" xfId="8511"/>
    <cellStyle name="SAPBEXHLevel3X 2 3 3" xfId="7544"/>
    <cellStyle name="SAPBEXHLevel3X 2 4" xfId="3654"/>
    <cellStyle name="SAPBEXHLevel3X 2 4 2" xfId="5927"/>
    <cellStyle name="SAPBEXHLevel3X 2 4 2 2" xfId="8547"/>
    <cellStyle name="SAPBEXHLevel3X 2 4 3" xfId="7580"/>
    <cellStyle name="SAPBEXHLevel3X 2 5" xfId="4043"/>
    <cellStyle name="SAPBEXHLevel3X 2 5 2" xfId="6316"/>
    <cellStyle name="SAPBEXHLevel3X 2 5 2 2" xfId="8897"/>
    <cellStyle name="SAPBEXHLevel3X 2 5 3" xfId="7930"/>
    <cellStyle name="SAPBEXHLevel3X 2 6" xfId="3826"/>
    <cellStyle name="SAPBEXHLevel3X 2 6 2" xfId="6099"/>
    <cellStyle name="SAPBEXHLevel3X 2 6 2 2" xfId="8717"/>
    <cellStyle name="SAPBEXHLevel3X 2 6 3" xfId="7750"/>
    <cellStyle name="SAPBEXHLevel3X 2 7" xfId="4609"/>
    <cellStyle name="SAPBEXHLevel3X 2 7 2" xfId="8004"/>
    <cellStyle name="SAPBEXHLevel3X 2 8" xfId="7037"/>
    <cellStyle name="SAPBEXHLevel3X 3" xfId="3099"/>
    <cellStyle name="SAPBEXHLevel3X 3 2" xfId="5372"/>
    <cellStyle name="SAPBEXHLevel3X 3 2 2" xfId="8164"/>
    <cellStyle name="SAPBEXHLevel3X 3 3" xfId="7197"/>
    <cellStyle name="SAPBEXHLevel3X 4" xfId="2235"/>
    <cellStyle name="SAPBEXHLevel3X 4 2" xfId="6900"/>
    <cellStyle name="SAPBEXHLevel3X 5" xfId="2007"/>
    <cellStyle name="SAPBEXresData" xfId="642"/>
    <cellStyle name="SAPBEXresData 2" xfId="2373"/>
    <cellStyle name="SAPBEXresData 2 2" xfId="3431"/>
    <cellStyle name="SAPBEXresData 2 2 2" xfId="5704"/>
    <cellStyle name="SAPBEXresData 2 2 2 2" xfId="8410"/>
    <cellStyle name="SAPBEXresData 2 2 3" xfId="7443"/>
    <cellStyle name="SAPBEXresData 2 3" xfId="3538"/>
    <cellStyle name="SAPBEXresData 2 3 2" xfId="5811"/>
    <cellStyle name="SAPBEXresData 2 3 2 2" xfId="8513"/>
    <cellStyle name="SAPBEXresData 2 3 3" xfId="7546"/>
    <cellStyle name="SAPBEXresData 2 4" xfId="3655"/>
    <cellStyle name="SAPBEXresData 2 4 2" xfId="5928"/>
    <cellStyle name="SAPBEXresData 2 4 2 2" xfId="8548"/>
    <cellStyle name="SAPBEXresData 2 4 3" xfId="7581"/>
    <cellStyle name="SAPBEXresData 2 5" xfId="3872"/>
    <cellStyle name="SAPBEXresData 2 5 2" xfId="6145"/>
    <cellStyle name="SAPBEXresData 2 5 2 2" xfId="8763"/>
    <cellStyle name="SAPBEXresData 2 5 3" xfId="7796"/>
    <cellStyle name="SAPBEXresData 2 6" xfId="3780"/>
    <cellStyle name="SAPBEXresData 2 6 2" xfId="6053"/>
    <cellStyle name="SAPBEXresData 2 6 2 2" xfId="8671"/>
    <cellStyle name="SAPBEXresData 2 6 3" xfId="7704"/>
    <cellStyle name="SAPBEXresData 2 7" xfId="4610"/>
    <cellStyle name="SAPBEXresData 2 7 2" xfId="8005"/>
    <cellStyle name="SAPBEXresData 2 8" xfId="7038"/>
    <cellStyle name="SAPBEXresData 3" xfId="3100"/>
    <cellStyle name="SAPBEXresData 3 2" xfId="5373"/>
    <cellStyle name="SAPBEXresData 3 2 2" xfId="8165"/>
    <cellStyle name="SAPBEXresData 3 3" xfId="7198"/>
    <cellStyle name="SAPBEXresData 4" xfId="2236"/>
    <cellStyle name="SAPBEXresData 4 2" xfId="6901"/>
    <cellStyle name="SAPBEXresData 5" xfId="2008"/>
    <cellStyle name="SAPBEXresDataEmph" xfId="643"/>
    <cellStyle name="SAPBEXresDataEmph 2" xfId="2374"/>
    <cellStyle name="SAPBEXresDataEmph 2 2" xfId="3432"/>
    <cellStyle name="SAPBEXresDataEmph 2 2 2" xfId="5705"/>
    <cellStyle name="SAPBEXresDataEmph 2 2 2 2" xfId="8411"/>
    <cellStyle name="SAPBEXresDataEmph 2 2 3" xfId="7444"/>
    <cellStyle name="SAPBEXresDataEmph 2 3" xfId="3537"/>
    <cellStyle name="SAPBEXresDataEmph 2 3 2" xfId="5810"/>
    <cellStyle name="SAPBEXresDataEmph 2 3 2 2" xfId="8512"/>
    <cellStyle name="SAPBEXresDataEmph 2 3 3" xfId="7545"/>
    <cellStyle name="SAPBEXresDataEmph 2 4" xfId="3656"/>
    <cellStyle name="SAPBEXresDataEmph 2 4 2" xfId="5929"/>
    <cellStyle name="SAPBEXresDataEmph 2 4 2 2" xfId="8549"/>
    <cellStyle name="SAPBEXresDataEmph 2 4 3" xfId="7582"/>
    <cellStyle name="SAPBEXresDataEmph 2 5" xfId="4038"/>
    <cellStyle name="SAPBEXresDataEmph 2 5 2" xfId="6311"/>
    <cellStyle name="SAPBEXresDataEmph 2 5 2 2" xfId="8892"/>
    <cellStyle name="SAPBEXresDataEmph 2 5 3" xfId="7925"/>
    <cellStyle name="SAPBEXresDataEmph 2 6" xfId="3841"/>
    <cellStyle name="SAPBEXresDataEmph 2 6 2" xfId="6114"/>
    <cellStyle name="SAPBEXresDataEmph 2 6 2 2" xfId="8732"/>
    <cellStyle name="SAPBEXresDataEmph 2 6 3" xfId="7765"/>
    <cellStyle name="SAPBEXresDataEmph 2 7" xfId="4611"/>
    <cellStyle name="SAPBEXresDataEmph 2 7 2" xfId="8006"/>
    <cellStyle name="SAPBEXresDataEmph 2 8" xfId="7039"/>
    <cellStyle name="SAPBEXresDataEmph 3" xfId="3101"/>
    <cellStyle name="SAPBEXresDataEmph 3 2" xfId="5374"/>
    <cellStyle name="SAPBEXresDataEmph 3 2 2" xfId="8166"/>
    <cellStyle name="SAPBEXresDataEmph 3 3" xfId="7199"/>
    <cellStyle name="SAPBEXresDataEmph 4" xfId="2237"/>
    <cellStyle name="SAPBEXresDataEmph 4 2" xfId="6902"/>
    <cellStyle name="SAPBEXresDataEmph 5" xfId="2009"/>
    <cellStyle name="SAPBEXresItem" xfId="644"/>
    <cellStyle name="SAPBEXresItem 2" xfId="2375"/>
    <cellStyle name="SAPBEXresItem 2 2" xfId="3433"/>
    <cellStyle name="SAPBEXresItem 2 2 2" xfId="5706"/>
    <cellStyle name="SAPBEXresItem 2 2 2 2" xfId="8412"/>
    <cellStyle name="SAPBEXresItem 2 2 3" xfId="7445"/>
    <cellStyle name="SAPBEXresItem 2 3" xfId="3201"/>
    <cellStyle name="SAPBEXresItem 2 3 2" xfId="5474"/>
    <cellStyle name="SAPBEXresItem 2 3 2 2" xfId="8266"/>
    <cellStyle name="SAPBEXresItem 2 3 3" xfId="7299"/>
    <cellStyle name="SAPBEXresItem 2 4" xfId="3657"/>
    <cellStyle name="SAPBEXresItem 2 4 2" xfId="5930"/>
    <cellStyle name="SAPBEXresItem 2 4 2 2" xfId="8550"/>
    <cellStyle name="SAPBEXresItem 2 4 3" xfId="7583"/>
    <cellStyle name="SAPBEXresItem 2 5" xfId="3929"/>
    <cellStyle name="SAPBEXresItem 2 5 2" xfId="6202"/>
    <cellStyle name="SAPBEXresItem 2 5 2 2" xfId="8820"/>
    <cellStyle name="SAPBEXresItem 2 5 3" xfId="7853"/>
    <cellStyle name="SAPBEXresItem 2 6" xfId="3923"/>
    <cellStyle name="SAPBEXresItem 2 6 2" xfId="6196"/>
    <cellStyle name="SAPBEXresItem 2 6 2 2" xfId="8814"/>
    <cellStyle name="SAPBEXresItem 2 6 3" xfId="7847"/>
    <cellStyle name="SAPBEXresItem 2 7" xfId="4612"/>
    <cellStyle name="SAPBEXresItem 2 7 2" xfId="8007"/>
    <cellStyle name="SAPBEXresItem 2 8" xfId="7040"/>
    <cellStyle name="SAPBEXresItem 3" xfId="3102"/>
    <cellStyle name="SAPBEXresItem 3 2" xfId="5375"/>
    <cellStyle name="SAPBEXresItem 3 2 2" xfId="8167"/>
    <cellStyle name="SAPBEXresItem 3 3" xfId="7200"/>
    <cellStyle name="SAPBEXresItem 4" xfId="2238"/>
    <cellStyle name="SAPBEXresItem 4 2" xfId="6903"/>
    <cellStyle name="SAPBEXresItem 5" xfId="2010"/>
    <cellStyle name="SAPBEXresItemX" xfId="645"/>
    <cellStyle name="SAPBEXresItemX 2" xfId="2376"/>
    <cellStyle name="SAPBEXresItemX 2 2" xfId="3434"/>
    <cellStyle name="SAPBEXresItemX 2 2 2" xfId="5707"/>
    <cellStyle name="SAPBEXresItemX 2 2 2 2" xfId="8413"/>
    <cellStyle name="SAPBEXresItemX 2 2 3" xfId="7446"/>
    <cellStyle name="SAPBEXresItemX 2 3" xfId="3202"/>
    <cellStyle name="SAPBEXresItemX 2 3 2" xfId="5475"/>
    <cellStyle name="SAPBEXresItemX 2 3 2 2" xfId="8267"/>
    <cellStyle name="SAPBEXresItemX 2 3 3" xfId="7300"/>
    <cellStyle name="SAPBEXresItemX 2 4" xfId="3658"/>
    <cellStyle name="SAPBEXresItemX 2 4 2" xfId="5931"/>
    <cellStyle name="SAPBEXresItemX 2 4 2 2" xfId="8551"/>
    <cellStyle name="SAPBEXresItemX 2 4 3" xfId="7584"/>
    <cellStyle name="SAPBEXresItemX 2 5" xfId="4042"/>
    <cellStyle name="SAPBEXresItemX 2 5 2" xfId="6315"/>
    <cellStyle name="SAPBEXresItemX 2 5 2 2" xfId="8896"/>
    <cellStyle name="SAPBEXresItemX 2 5 3" xfId="7929"/>
    <cellStyle name="SAPBEXresItemX 2 6" xfId="3827"/>
    <cellStyle name="SAPBEXresItemX 2 6 2" xfId="6100"/>
    <cellStyle name="SAPBEXresItemX 2 6 2 2" xfId="8718"/>
    <cellStyle name="SAPBEXresItemX 2 6 3" xfId="7751"/>
    <cellStyle name="SAPBEXresItemX 2 7" xfId="4613"/>
    <cellStyle name="SAPBEXresItemX 2 7 2" xfId="8008"/>
    <cellStyle name="SAPBEXresItemX 2 8" xfId="7041"/>
    <cellStyle name="SAPBEXresItemX 3" xfId="3103"/>
    <cellStyle name="SAPBEXresItemX 3 2" xfId="5376"/>
    <cellStyle name="SAPBEXresItemX 3 2 2" xfId="8168"/>
    <cellStyle name="SAPBEXresItemX 3 3" xfId="7201"/>
    <cellStyle name="SAPBEXresItemX 4" xfId="2239"/>
    <cellStyle name="SAPBEXresItemX 4 2" xfId="6904"/>
    <cellStyle name="SAPBEXresItemX 5" xfId="2011"/>
    <cellStyle name="SAPBEXstdData" xfId="646"/>
    <cellStyle name="SAPBEXstdData 2" xfId="2377"/>
    <cellStyle name="SAPBEXstdData 2 2" xfId="3435"/>
    <cellStyle name="SAPBEXstdData 2 2 2" xfId="5708"/>
    <cellStyle name="SAPBEXstdData 2 2 2 2" xfId="8414"/>
    <cellStyle name="SAPBEXstdData 2 2 3" xfId="7447"/>
    <cellStyle name="SAPBEXstdData 2 3" xfId="3203"/>
    <cellStyle name="SAPBEXstdData 2 3 2" xfId="5476"/>
    <cellStyle name="SAPBEXstdData 2 3 2 2" xfId="8268"/>
    <cellStyle name="SAPBEXstdData 2 3 3" xfId="7301"/>
    <cellStyle name="SAPBEXstdData 2 4" xfId="3659"/>
    <cellStyle name="SAPBEXstdData 2 4 2" xfId="5932"/>
    <cellStyle name="SAPBEXstdData 2 4 2 2" xfId="8552"/>
    <cellStyle name="SAPBEXstdData 2 4 3" xfId="7585"/>
    <cellStyle name="SAPBEXstdData 2 5" xfId="3786"/>
    <cellStyle name="SAPBEXstdData 2 5 2" xfId="6059"/>
    <cellStyle name="SAPBEXstdData 2 5 2 2" xfId="8677"/>
    <cellStyle name="SAPBEXstdData 2 5 3" xfId="7710"/>
    <cellStyle name="SAPBEXstdData 2 6" xfId="3767"/>
    <cellStyle name="SAPBEXstdData 2 6 2" xfId="6040"/>
    <cellStyle name="SAPBEXstdData 2 6 2 2" xfId="8658"/>
    <cellStyle name="SAPBEXstdData 2 6 3" xfId="7691"/>
    <cellStyle name="SAPBEXstdData 2 7" xfId="4614"/>
    <cellStyle name="SAPBEXstdData 2 7 2" xfId="8009"/>
    <cellStyle name="SAPBEXstdData 2 8" xfId="7042"/>
    <cellStyle name="SAPBEXstdData 3" xfId="3104"/>
    <cellStyle name="SAPBEXstdData 3 2" xfId="5377"/>
    <cellStyle name="SAPBEXstdData 3 2 2" xfId="8169"/>
    <cellStyle name="SAPBEXstdData 3 3" xfId="7202"/>
    <cellStyle name="SAPBEXstdData 4" xfId="2240"/>
    <cellStyle name="SAPBEXstdData 4 2" xfId="6905"/>
    <cellStyle name="SAPBEXstdData 5" xfId="2012"/>
    <cellStyle name="SAPBEXstdDataEmph" xfId="647"/>
    <cellStyle name="SAPBEXstdDataEmph 2" xfId="2378"/>
    <cellStyle name="SAPBEXstdDataEmph 2 2" xfId="3436"/>
    <cellStyle name="SAPBEXstdDataEmph 2 2 2" xfId="5709"/>
    <cellStyle name="SAPBEXstdDataEmph 2 2 2 2" xfId="8415"/>
    <cellStyle name="SAPBEXstdDataEmph 2 2 3" xfId="7448"/>
    <cellStyle name="SAPBEXstdDataEmph 2 3" xfId="3204"/>
    <cellStyle name="SAPBEXstdDataEmph 2 3 2" xfId="5477"/>
    <cellStyle name="SAPBEXstdDataEmph 2 3 2 2" xfId="8269"/>
    <cellStyle name="SAPBEXstdDataEmph 2 3 3" xfId="7302"/>
    <cellStyle name="SAPBEXstdDataEmph 2 4" xfId="3660"/>
    <cellStyle name="SAPBEXstdDataEmph 2 4 2" xfId="5933"/>
    <cellStyle name="SAPBEXstdDataEmph 2 4 2 2" xfId="8553"/>
    <cellStyle name="SAPBEXstdDataEmph 2 4 3" xfId="7586"/>
    <cellStyle name="SAPBEXstdDataEmph 2 5" xfId="4037"/>
    <cellStyle name="SAPBEXstdDataEmph 2 5 2" xfId="6310"/>
    <cellStyle name="SAPBEXstdDataEmph 2 5 2 2" xfId="8891"/>
    <cellStyle name="SAPBEXstdDataEmph 2 5 3" xfId="7924"/>
    <cellStyle name="SAPBEXstdDataEmph 2 6" xfId="3927"/>
    <cellStyle name="SAPBEXstdDataEmph 2 6 2" xfId="6200"/>
    <cellStyle name="SAPBEXstdDataEmph 2 6 2 2" xfId="8818"/>
    <cellStyle name="SAPBEXstdDataEmph 2 6 3" xfId="7851"/>
    <cellStyle name="SAPBEXstdDataEmph 2 7" xfId="4615"/>
    <cellStyle name="SAPBEXstdDataEmph 2 7 2" xfId="8010"/>
    <cellStyle name="SAPBEXstdDataEmph 2 8" xfId="7043"/>
    <cellStyle name="SAPBEXstdDataEmph 3" xfId="3105"/>
    <cellStyle name="SAPBEXstdDataEmph 3 2" xfId="5378"/>
    <cellStyle name="SAPBEXstdDataEmph 3 2 2" xfId="8170"/>
    <cellStyle name="SAPBEXstdDataEmph 3 3" xfId="7203"/>
    <cellStyle name="SAPBEXstdDataEmph 4" xfId="2241"/>
    <cellStyle name="SAPBEXstdDataEmph 4 2" xfId="6906"/>
    <cellStyle name="SAPBEXstdDataEmph 5" xfId="2013"/>
    <cellStyle name="SAPBEXstdItem" xfId="648"/>
    <cellStyle name="SAPBEXstdItem 2" xfId="2379"/>
    <cellStyle name="SAPBEXstdItem 2 2" xfId="3437"/>
    <cellStyle name="SAPBEXstdItem 2 2 2" xfId="5710"/>
    <cellStyle name="SAPBEXstdItem 2 2 2 2" xfId="8416"/>
    <cellStyle name="SAPBEXstdItem 2 2 3" xfId="7449"/>
    <cellStyle name="SAPBEXstdItem 2 3" xfId="3206"/>
    <cellStyle name="SAPBEXstdItem 2 3 2" xfId="5479"/>
    <cellStyle name="SAPBEXstdItem 2 3 2 2" xfId="8271"/>
    <cellStyle name="SAPBEXstdItem 2 3 3" xfId="7304"/>
    <cellStyle name="SAPBEXstdItem 2 4" xfId="3661"/>
    <cellStyle name="SAPBEXstdItem 2 4 2" xfId="5934"/>
    <cellStyle name="SAPBEXstdItem 2 4 2 2" xfId="8554"/>
    <cellStyle name="SAPBEXstdItem 2 4 3" xfId="7587"/>
    <cellStyle name="SAPBEXstdItem 2 5" xfId="3853"/>
    <cellStyle name="SAPBEXstdItem 2 5 2" xfId="6126"/>
    <cellStyle name="SAPBEXstdItem 2 5 2 2" xfId="8744"/>
    <cellStyle name="SAPBEXstdItem 2 5 3" xfId="7777"/>
    <cellStyle name="SAPBEXstdItem 2 6" xfId="3825"/>
    <cellStyle name="SAPBEXstdItem 2 6 2" xfId="6098"/>
    <cellStyle name="SAPBEXstdItem 2 6 2 2" xfId="8716"/>
    <cellStyle name="SAPBEXstdItem 2 6 3" xfId="7749"/>
    <cellStyle name="SAPBEXstdItem 2 7" xfId="4616"/>
    <cellStyle name="SAPBEXstdItem 2 7 2" xfId="8011"/>
    <cellStyle name="SAPBEXstdItem 2 8" xfId="7044"/>
    <cellStyle name="SAPBEXstdItem 3" xfId="3106"/>
    <cellStyle name="SAPBEXstdItem 3 2" xfId="5379"/>
    <cellStyle name="SAPBEXstdItem 3 2 2" xfId="8171"/>
    <cellStyle name="SAPBEXstdItem 3 3" xfId="7204"/>
    <cellStyle name="SAPBEXstdItem 4" xfId="2242"/>
    <cellStyle name="SAPBEXstdItem 4 2" xfId="6907"/>
    <cellStyle name="SAPBEXstdItem 5" xfId="2014"/>
    <cellStyle name="SAPBEXstdItemX" xfId="649"/>
    <cellStyle name="SAPBEXstdItemX 2" xfId="2380"/>
    <cellStyle name="SAPBEXstdItemX 2 2" xfId="3438"/>
    <cellStyle name="SAPBEXstdItemX 2 2 2" xfId="5711"/>
    <cellStyle name="SAPBEXstdItemX 2 2 2 2" xfId="8417"/>
    <cellStyle name="SAPBEXstdItemX 2 2 3" xfId="7450"/>
    <cellStyle name="SAPBEXstdItemX 2 3" xfId="3207"/>
    <cellStyle name="SAPBEXstdItemX 2 3 2" xfId="5480"/>
    <cellStyle name="SAPBEXstdItemX 2 3 2 2" xfId="8272"/>
    <cellStyle name="SAPBEXstdItemX 2 3 3" xfId="7305"/>
    <cellStyle name="SAPBEXstdItemX 2 4" xfId="3662"/>
    <cellStyle name="SAPBEXstdItemX 2 4 2" xfId="5935"/>
    <cellStyle name="SAPBEXstdItemX 2 4 2 2" xfId="8555"/>
    <cellStyle name="SAPBEXstdItemX 2 4 3" xfId="7588"/>
    <cellStyle name="SAPBEXstdItemX 2 5" xfId="3931"/>
    <cellStyle name="SAPBEXstdItemX 2 5 2" xfId="6204"/>
    <cellStyle name="SAPBEXstdItemX 2 5 2 2" xfId="8822"/>
    <cellStyle name="SAPBEXstdItemX 2 5 3" xfId="7855"/>
    <cellStyle name="SAPBEXstdItemX 2 6" xfId="3842"/>
    <cellStyle name="SAPBEXstdItemX 2 6 2" xfId="6115"/>
    <cellStyle name="SAPBEXstdItemX 2 6 2 2" xfId="8733"/>
    <cellStyle name="SAPBEXstdItemX 2 6 3" xfId="7766"/>
    <cellStyle name="SAPBEXstdItemX 2 7" xfId="4617"/>
    <cellStyle name="SAPBEXstdItemX 2 7 2" xfId="8012"/>
    <cellStyle name="SAPBEXstdItemX 2 8" xfId="7045"/>
    <cellStyle name="SAPBEXstdItemX 3" xfId="3107"/>
    <cellStyle name="SAPBEXstdItemX 3 2" xfId="5380"/>
    <cellStyle name="SAPBEXstdItemX 3 2 2" xfId="8172"/>
    <cellStyle name="SAPBEXstdItemX 3 3" xfId="7205"/>
    <cellStyle name="SAPBEXstdItemX 4" xfId="2243"/>
    <cellStyle name="SAPBEXstdItemX 4 2" xfId="6908"/>
    <cellStyle name="SAPBEXstdItemX 5" xfId="2015"/>
    <cellStyle name="SAPBEXtitle" xfId="650"/>
    <cellStyle name="SAPBEXundefined" xfId="651"/>
    <cellStyle name="SAPBEXundefined 2" xfId="2381"/>
    <cellStyle name="SAPBEXundefined 2 2" xfId="3439"/>
    <cellStyle name="SAPBEXundefined 2 2 2" xfId="5712"/>
    <cellStyle name="SAPBEXundefined 2 2 2 2" xfId="8418"/>
    <cellStyle name="SAPBEXundefined 2 2 3" xfId="7451"/>
    <cellStyle name="SAPBEXundefined 2 3" xfId="3208"/>
    <cellStyle name="SAPBEXundefined 2 3 2" xfId="5481"/>
    <cellStyle name="SAPBEXundefined 2 3 2 2" xfId="8273"/>
    <cellStyle name="SAPBEXundefined 2 3 3" xfId="7306"/>
    <cellStyle name="SAPBEXundefined 2 4" xfId="3663"/>
    <cellStyle name="SAPBEXundefined 2 4 2" xfId="5936"/>
    <cellStyle name="SAPBEXundefined 2 4 2 2" xfId="8556"/>
    <cellStyle name="SAPBEXundefined 2 4 3" xfId="7589"/>
    <cellStyle name="SAPBEXundefined 2 5" xfId="4044"/>
    <cellStyle name="SAPBEXundefined 2 5 2" xfId="6317"/>
    <cellStyle name="SAPBEXundefined 2 5 2 2" xfId="8898"/>
    <cellStyle name="SAPBEXundefined 2 5 3" xfId="7931"/>
    <cellStyle name="SAPBEXundefined 2 6" xfId="3924"/>
    <cellStyle name="SAPBEXundefined 2 6 2" xfId="6197"/>
    <cellStyle name="SAPBEXundefined 2 6 2 2" xfId="8815"/>
    <cellStyle name="SAPBEXundefined 2 6 3" xfId="7848"/>
    <cellStyle name="SAPBEXundefined 2 7" xfId="4618"/>
    <cellStyle name="SAPBEXundefined 2 7 2" xfId="8013"/>
    <cellStyle name="SAPBEXundefined 2 8" xfId="7046"/>
    <cellStyle name="SAPBEXundefined 3" xfId="3108"/>
    <cellStyle name="SAPBEXundefined 3 2" xfId="5381"/>
    <cellStyle name="SAPBEXundefined 3 2 2" xfId="8173"/>
    <cellStyle name="SAPBEXundefined 3 3" xfId="7206"/>
    <cellStyle name="SAPBEXundefined 4" xfId="2244"/>
    <cellStyle name="SAPBEXundefined 4 2" xfId="6909"/>
    <cellStyle name="SAPBEXundefined 5" xfId="2016"/>
    <cellStyle name="section" xfId="652"/>
    <cellStyle name="subhead" xfId="653"/>
    <cellStyle name="Table" xfId="654"/>
    <cellStyle name="Text Indent A" xfId="655"/>
    <cellStyle name="Text Indent B" xfId="656"/>
    <cellStyle name="Text Indent C" xfId="657"/>
    <cellStyle name="title" xfId="658"/>
    <cellStyle name="title 2" xfId="659"/>
    <cellStyle name="Total" xfId="660"/>
    <cellStyle name="Total 2" xfId="661"/>
    <cellStyle name="Total 2 2" xfId="2383"/>
    <cellStyle name="Total 2 2 2" xfId="3441"/>
    <cellStyle name="Total 2 2 2 2" xfId="5714"/>
    <cellStyle name="Total 2 2 2 2 2" xfId="8420"/>
    <cellStyle name="Total 2 2 2 3" xfId="7453"/>
    <cellStyle name="Total 2 2 3" xfId="3210"/>
    <cellStyle name="Total 2 2 3 2" xfId="5483"/>
    <cellStyle name="Total 2 2 3 2 2" xfId="8275"/>
    <cellStyle name="Total 2 2 3 3" xfId="7308"/>
    <cellStyle name="Total 2 2 4" xfId="3665"/>
    <cellStyle name="Total 2 2 4 2" xfId="5938"/>
    <cellStyle name="Total 2 2 4 2 2" xfId="8558"/>
    <cellStyle name="Total 2 2 4 3" xfId="7591"/>
    <cellStyle name="Total 2 2 5" xfId="3954"/>
    <cellStyle name="Total 2 2 5 2" xfId="6227"/>
    <cellStyle name="Total 2 2 5 2 2" xfId="8845"/>
    <cellStyle name="Total 2 2 5 3" xfId="7878"/>
    <cellStyle name="Total 2 2 6" xfId="3769"/>
    <cellStyle name="Total 2 2 6 2" xfId="6042"/>
    <cellStyle name="Total 2 2 6 2 2" xfId="8660"/>
    <cellStyle name="Total 2 2 6 3" xfId="7693"/>
    <cellStyle name="Total 2 2 7" xfId="4620"/>
    <cellStyle name="Total 2 2 7 2" xfId="8015"/>
    <cellStyle name="Total 2 2 8" xfId="7048"/>
    <cellStyle name="Total 2 3" xfId="3110"/>
    <cellStyle name="Total 2 3 2" xfId="5383"/>
    <cellStyle name="Total 2 3 2 2" xfId="8175"/>
    <cellStyle name="Total 2 3 3" xfId="7208"/>
    <cellStyle name="Total 2 4" xfId="2246"/>
    <cellStyle name="Total 2 4 2" xfId="6911"/>
    <cellStyle name="Total 2 5" xfId="2018"/>
    <cellStyle name="Total 3" xfId="2382"/>
    <cellStyle name="Total 3 2" xfId="3440"/>
    <cellStyle name="Total 3 2 2" xfId="5713"/>
    <cellStyle name="Total 3 2 2 2" xfId="8419"/>
    <cellStyle name="Total 3 2 3" xfId="7452"/>
    <cellStyle name="Total 3 3" xfId="3209"/>
    <cellStyle name="Total 3 3 2" xfId="5482"/>
    <cellStyle name="Total 3 3 2 2" xfId="8274"/>
    <cellStyle name="Total 3 3 3" xfId="7307"/>
    <cellStyle name="Total 3 4" xfId="3664"/>
    <cellStyle name="Total 3 4 2" xfId="5937"/>
    <cellStyle name="Total 3 4 2 2" xfId="8557"/>
    <cellStyle name="Total 3 4 3" xfId="7590"/>
    <cellStyle name="Total 3 5" xfId="3932"/>
    <cellStyle name="Total 3 5 2" xfId="6205"/>
    <cellStyle name="Total 3 5 2 2" xfId="8823"/>
    <cellStyle name="Total 3 5 3" xfId="7856"/>
    <cellStyle name="Total 3 6" xfId="4004"/>
    <cellStyle name="Total 3 6 2" xfId="6277"/>
    <cellStyle name="Total 3 6 2 2" xfId="8865"/>
    <cellStyle name="Total 3 6 3" xfId="7898"/>
    <cellStyle name="Total 3 7" xfId="4619"/>
    <cellStyle name="Total 3 7 2" xfId="8014"/>
    <cellStyle name="Total 3 8" xfId="7047"/>
    <cellStyle name="Total 4" xfId="3109"/>
    <cellStyle name="Total 4 2" xfId="5382"/>
    <cellStyle name="Total 4 2 2" xfId="8174"/>
    <cellStyle name="Total 4 3" xfId="7207"/>
    <cellStyle name="Total 5" xfId="2245"/>
    <cellStyle name="Total 5 2" xfId="6910"/>
    <cellStyle name="Total 6" xfId="2017"/>
    <cellStyle name="Warning Text" xfId="662"/>
    <cellStyle name="Warning Text 2" xfId="663"/>
    <cellStyle name="アクセント 1 2" xfId="664"/>
    <cellStyle name="アクセント 1 2 2" xfId="665"/>
    <cellStyle name="アクセント 1 2 3" xfId="666"/>
    <cellStyle name="アクセント 1 2 4" xfId="667"/>
    <cellStyle name="アクセント 1 3" xfId="668"/>
    <cellStyle name="アクセント 1 3 2" xfId="669"/>
    <cellStyle name="アクセント 1 4" xfId="670"/>
    <cellStyle name="アクセント 1 5" xfId="671"/>
    <cellStyle name="アクセント 2 2" xfId="672"/>
    <cellStyle name="アクセント 2 2 2" xfId="673"/>
    <cellStyle name="アクセント 2 2 3" xfId="674"/>
    <cellStyle name="アクセント 2 2 4" xfId="675"/>
    <cellStyle name="アクセント 2 3" xfId="676"/>
    <cellStyle name="アクセント 2 4" xfId="677"/>
    <cellStyle name="アクセント 2 5" xfId="678"/>
    <cellStyle name="アクセント 3 2" xfId="679"/>
    <cellStyle name="アクセント 3 2 2" xfId="680"/>
    <cellStyle name="アクセント 3 2 3" xfId="681"/>
    <cellStyle name="アクセント 3 2 4" xfId="682"/>
    <cellStyle name="アクセント 3 3" xfId="683"/>
    <cellStyle name="アクセント 3 4" xfId="684"/>
    <cellStyle name="アクセント 3 5" xfId="685"/>
    <cellStyle name="アクセント 4 2" xfId="686"/>
    <cellStyle name="アクセント 4 2 2" xfId="687"/>
    <cellStyle name="アクセント 4 2 3" xfId="688"/>
    <cellStyle name="アクセント 4 2 4" xfId="689"/>
    <cellStyle name="アクセント 4 3" xfId="690"/>
    <cellStyle name="アクセント 4 3 2" xfId="691"/>
    <cellStyle name="アクセント 4 4" xfId="692"/>
    <cellStyle name="アクセント 4 5" xfId="693"/>
    <cellStyle name="アクセント 5 2" xfId="694"/>
    <cellStyle name="アクセント 5 2 2" xfId="695"/>
    <cellStyle name="アクセント 5 2 3" xfId="696"/>
    <cellStyle name="アクセント 5 2 4" xfId="697"/>
    <cellStyle name="アクセント 5 3" xfId="698"/>
    <cellStyle name="アクセント 5 4" xfId="699"/>
    <cellStyle name="アクセント 5 5" xfId="700"/>
    <cellStyle name="アクセント 6 2" xfId="701"/>
    <cellStyle name="アクセント 6 2 2" xfId="702"/>
    <cellStyle name="アクセント 6 2 3" xfId="703"/>
    <cellStyle name="アクセント 6 2 4" xfId="704"/>
    <cellStyle name="アクセント 6 3" xfId="705"/>
    <cellStyle name="アクセント 6 4" xfId="706"/>
    <cellStyle name="アクセント 6 5" xfId="707"/>
    <cellStyle name="ｳ｣ｹ訐laroux" xfId="708"/>
    <cellStyle name="ｳ｣ｹ訐PERSONAL" xfId="709"/>
    <cellStyle name="ｳ｣ｹ訐ﾓｲｼ" xfId="710"/>
    <cellStyle name="ｳ｣ｹ訐ﾗ､ﾂ昉・" xfId="711"/>
    <cellStyle name="ｻﾒ[0]_laroux" xfId="712"/>
    <cellStyle name="ｻﾒ_1000A UNIX" xfId="713"/>
    <cellStyle name="スタイル 1" xfId="714"/>
    <cellStyle name="センター" xfId="715"/>
    <cellStyle name="タイトル 2" xfId="716"/>
    <cellStyle name="タイトル 2 2" xfId="717"/>
    <cellStyle name="タイトル 2 3" xfId="718"/>
    <cellStyle name="タイトル 2 4" xfId="719"/>
    <cellStyle name="タイトル 2 5" xfId="720"/>
    <cellStyle name="タイトル 2 6" xfId="721"/>
    <cellStyle name="タイトル 3" xfId="722"/>
    <cellStyle name="タイトル 3 2" xfId="723"/>
    <cellStyle name="タイトル 4" xfId="724"/>
    <cellStyle name="タイトル 5" xfId="725"/>
    <cellStyle name="チェック セル 2" xfId="726"/>
    <cellStyle name="チェック セル 2 2" xfId="727"/>
    <cellStyle name="チェック セル 2 3" xfId="728"/>
    <cellStyle name="チェック セル 2 4" xfId="729"/>
    <cellStyle name="チェック セル 3" xfId="730"/>
    <cellStyle name="チェック セル 4" xfId="731"/>
    <cellStyle name="チェック セル 5" xfId="732"/>
    <cellStyle name="テーブル色" xfId="2200"/>
    <cellStyle name="テーブル色 10" xfId="9020"/>
    <cellStyle name="テーブル色 2" xfId="2598"/>
    <cellStyle name="テーブル色 2 2" xfId="4876"/>
    <cellStyle name="テーブル色 2 2 2" xfId="10493"/>
    <cellStyle name="テーブル色 2 3" xfId="9184"/>
    <cellStyle name="テーブル色 3" xfId="2688"/>
    <cellStyle name="テーブル色 3 2" xfId="4966"/>
    <cellStyle name="テーブル色 3 2 2" xfId="10582"/>
    <cellStyle name="テーブル色 3 3" xfId="9273"/>
    <cellStyle name="テーブル色 4" xfId="2783"/>
    <cellStyle name="テーブル色 4 2" xfId="5056"/>
    <cellStyle name="テーブル色 4 2 2" xfId="10671"/>
    <cellStyle name="テーブル色 4 3" xfId="9362"/>
    <cellStyle name="テーブル色 5" xfId="2873"/>
    <cellStyle name="テーブル色 5 2" xfId="5146"/>
    <cellStyle name="テーブル色 5 2 2" xfId="10760"/>
    <cellStyle name="テーブル色 5 3" xfId="9451"/>
    <cellStyle name="テーブル色 6" xfId="4294"/>
    <cellStyle name="テーブル色 6 2" xfId="6567"/>
    <cellStyle name="テーブル色 6 2 2" xfId="11371"/>
    <cellStyle name="テーブル色 6 3" xfId="10062"/>
    <cellStyle name="テーブル色 7" xfId="4386"/>
    <cellStyle name="テーブル色 7 2" xfId="6659"/>
    <cellStyle name="テーブル色 7 2 2" xfId="11460"/>
    <cellStyle name="テーブル色 7 3" xfId="10151"/>
    <cellStyle name="テーブル色 8" xfId="4476"/>
    <cellStyle name="テーブル色 8 2" xfId="6749"/>
    <cellStyle name="テーブル色 8 2 2" xfId="11549"/>
    <cellStyle name="テーブル色 8 3" xfId="10240"/>
    <cellStyle name="テーブル色 9" xfId="4572"/>
    <cellStyle name="テーブル色 9 2" xfId="10329"/>
    <cellStyle name="ドキュメント標準" xfId="733"/>
    <cellStyle name="どちらでもない 2" xfId="734"/>
    <cellStyle name="どちらでもない 2 2" xfId="735"/>
    <cellStyle name="どちらでもない 2 3" xfId="736"/>
    <cellStyle name="どちらでもない 2 4" xfId="737"/>
    <cellStyle name="どちらでもない 3" xfId="738"/>
    <cellStyle name="どちらでもない 4" xfId="739"/>
    <cellStyle name="どちらでもない 5" xfId="740"/>
    <cellStyle name="なし" xfId="741"/>
    <cellStyle name="ﾇｧﾎｻ[0]_laroux" xfId="742"/>
    <cellStyle name="ﾇｧﾎｻ_laroux" xfId="743"/>
    <cellStyle name="ﾇｧﾎｻｷﾖｸ0]_PERSONAL" xfId="744"/>
    <cellStyle name="ﾇｧﾎｻｷﾖｸPERSONAL" xfId="745"/>
    <cellStyle name="パーセント 2" xfId="746"/>
    <cellStyle name="パーセント 2 2" xfId="747"/>
    <cellStyle name="パーセント 2 2 2" xfId="6757"/>
    <cellStyle name="パーセント 2 3" xfId="6758"/>
    <cellStyle name="パーセント 2 4" xfId="6756"/>
    <cellStyle name="パーセント 3" xfId="748"/>
    <cellStyle name="パーセント 4" xfId="749"/>
    <cellStyle name="パーセント 5" xfId="750"/>
    <cellStyle name="ハイパーリンク" xfId="15" builtinId="8"/>
    <cellStyle name="ハイパーリンク 10" xfId="751"/>
    <cellStyle name="ハイパーリンク 11" xfId="752"/>
    <cellStyle name="ハイパーリンク 11 2" xfId="6759"/>
    <cellStyle name="ハイパーリンク 12" xfId="11555"/>
    <cellStyle name="ハイパーリンク 2" xfId="753"/>
    <cellStyle name="ハイパーリンク 2 2" xfId="754"/>
    <cellStyle name="ハイパーリンク 2 2 2" xfId="755"/>
    <cellStyle name="ハイパーリンク 2 2 3" xfId="6760"/>
    <cellStyle name="ハイパーリンク 2 3" xfId="756"/>
    <cellStyle name="ハイパーリンク 2 4" xfId="757"/>
    <cellStyle name="ハイパーリンク 2 4 2" xfId="758"/>
    <cellStyle name="ハイパーリンク 2 5" xfId="759"/>
    <cellStyle name="ハイパーリンク 2 5 2" xfId="6761"/>
    <cellStyle name="ハイパーリンク 3" xfId="760"/>
    <cellStyle name="ハイパーリンク 3 2" xfId="761"/>
    <cellStyle name="ハイパーリンク 3 2 2" xfId="6762"/>
    <cellStyle name="ハイパーリンク 4" xfId="762"/>
    <cellStyle name="ハイパーリンク 4 2" xfId="763"/>
    <cellStyle name="ハイパーリンク 4 2 2" xfId="764"/>
    <cellStyle name="ハイパーリンク 4 3" xfId="765"/>
    <cellStyle name="ハイパーリンク 4 3 2" xfId="6763"/>
    <cellStyle name="ハイパーリンク 5" xfId="766"/>
    <cellStyle name="ハイパーリンク 6" xfId="767"/>
    <cellStyle name="ハイパーリンク 7" xfId="768"/>
    <cellStyle name="ハイパーリンク 8" xfId="769"/>
    <cellStyle name="ハイパーリンク 9" xfId="770"/>
    <cellStyle name="ハイパーリンク 9 2" xfId="6764"/>
    <cellStyle name="メモ 10" xfId="771"/>
    <cellStyle name="メモ 10 2" xfId="772"/>
    <cellStyle name="メモ 10 2 2" xfId="3443"/>
    <cellStyle name="メモ 10 2 2 2" xfId="5716"/>
    <cellStyle name="メモ 10 2 2 2 2" xfId="8422"/>
    <cellStyle name="メモ 10 2 2 3" xfId="7455"/>
    <cellStyle name="メモ 10 2 3" xfId="3212"/>
    <cellStyle name="メモ 10 2 3 2" xfId="5485"/>
    <cellStyle name="メモ 10 2 3 2 2" xfId="8277"/>
    <cellStyle name="メモ 10 2 3 3" xfId="7310"/>
    <cellStyle name="メモ 10 2 4" xfId="3667"/>
    <cellStyle name="メモ 10 2 4 2" xfId="5940"/>
    <cellStyle name="メモ 10 2 4 2 2" xfId="8560"/>
    <cellStyle name="メモ 10 2 4 3" xfId="7593"/>
    <cellStyle name="メモ 10 2 5" xfId="3956"/>
    <cellStyle name="メモ 10 2 5 2" xfId="6229"/>
    <cellStyle name="メモ 10 2 5 2 2" xfId="8847"/>
    <cellStyle name="メモ 10 2 5 3" xfId="7880"/>
    <cellStyle name="メモ 10 2 6" xfId="3785"/>
    <cellStyle name="メモ 10 2 6 2" xfId="6058"/>
    <cellStyle name="メモ 10 2 6 2 2" xfId="8676"/>
    <cellStyle name="メモ 10 2 6 3" xfId="7709"/>
    <cellStyle name="メモ 10 2 7" xfId="4622"/>
    <cellStyle name="メモ 10 2 7 2" xfId="8017"/>
    <cellStyle name="メモ 10 2 8" xfId="7050"/>
    <cellStyle name="メモ 10 3" xfId="3112"/>
    <cellStyle name="メモ 10 3 2" xfId="5385"/>
    <cellStyle name="メモ 10 3 2 2" xfId="8177"/>
    <cellStyle name="メモ 10 3 3" xfId="7210"/>
    <cellStyle name="メモ 10 4" xfId="2248"/>
    <cellStyle name="メモ 10 4 2" xfId="6913"/>
    <cellStyle name="メモ 10 5" xfId="2020"/>
    <cellStyle name="メモ 11" xfId="773"/>
    <cellStyle name="メモ 11 2" xfId="774"/>
    <cellStyle name="メモ 11 2 2" xfId="3444"/>
    <cellStyle name="メモ 11 2 2 2" xfId="5717"/>
    <cellStyle name="メモ 11 2 2 2 2" xfId="8423"/>
    <cellStyle name="メモ 11 2 2 3" xfId="7456"/>
    <cellStyle name="メモ 11 2 3" xfId="3213"/>
    <cellStyle name="メモ 11 2 3 2" xfId="5486"/>
    <cellStyle name="メモ 11 2 3 2 2" xfId="8278"/>
    <cellStyle name="メモ 11 2 3 3" xfId="7311"/>
    <cellStyle name="メモ 11 2 4" xfId="3668"/>
    <cellStyle name="メモ 11 2 4 2" xfId="5941"/>
    <cellStyle name="メモ 11 2 4 2 2" xfId="8561"/>
    <cellStyle name="メモ 11 2 4 3" xfId="7594"/>
    <cellStyle name="メモ 11 2 5" xfId="3939"/>
    <cellStyle name="メモ 11 2 5 2" xfId="6212"/>
    <cellStyle name="メモ 11 2 5 2 2" xfId="8830"/>
    <cellStyle name="メモ 11 2 5 3" xfId="7863"/>
    <cellStyle name="メモ 11 2 6" xfId="3843"/>
    <cellStyle name="メモ 11 2 6 2" xfId="6116"/>
    <cellStyle name="メモ 11 2 6 2 2" xfId="8734"/>
    <cellStyle name="メモ 11 2 6 3" xfId="7767"/>
    <cellStyle name="メモ 11 2 7" xfId="4623"/>
    <cellStyle name="メモ 11 2 7 2" xfId="8018"/>
    <cellStyle name="メモ 11 2 8" xfId="7051"/>
    <cellStyle name="メモ 11 3" xfId="3377"/>
    <cellStyle name="メモ 11 3 2" xfId="5650"/>
    <cellStyle name="メモ 11 3 2 2" xfId="8372"/>
    <cellStyle name="メモ 11 3 3" xfId="7405"/>
    <cellStyle name="メモ 11 4" xfId="2249"/>
    <cellStyle name="メモ 11 4 2" xfId="6914"/>
    <cellStyle name="メモ 11 5" xfId="2021"/>
    <cellStyle name="メモ 12" xfId="775"/>
    <cellStyle name="メモ 12 2" xfId="776"/>
    <cellStyle name="メモ 12 2 2" xfId="3445"/>
    <cellStyle name="メモ 12 2 2 2" xfId="5718"/>
    <cellStyle name="メモ 12 2 2 2 2" xfId="8424"/>
    <cellStyle name="メモ 12 2 2 3" xfId="7457"/>
    <cellStyle name="メモ 12 2 3" xfId="3214"/>
    <cellStyle name="メモ 12 2 3 2" xfId="5487"/>
    <cellStyle name="メモ 12 2 3 2 2" xfId="8279"/>
    <cellStyle name="メモ 12 2 3 3" xfId="7312"/>
    <cellStyle name="メモ 12 2 4" xfId="3669"/>
    <cellStyle name="メモ 12 2 4 2" xfId="5942"/>
    <cellStyle name="メモ 12 2 4 2 2" xfId="8562"/>
    <cellStyle name="メモ 12 2 4 3" xfId="7595"/>
    <cellStyle name="メモ 12 2 5" xfId="3961"/>
    <cellStyle name="メモ 12 2 5 2" xfId="6234"/>
    <cellStyle name="メモ 12 2 5 2 2" xfId="8852"/>
    <cellStyle name="メモ 12 2 5 3" xfId="7885"/>
    <cellStyle name="メモ 12 2 6" xfId="3861"/>
    <cellStyle name="メモ 12 2 6 2" xfId="6134"/>
    <cellStyle name="メモ 12 2 6 2 2" xfId="8752"/>
    <cellStyle name="メモ 12 2 6 3" xfId="7785"/>
    <cellStyle name="メモ 12 2 7" xfId="4624"/>
    <cellStyle name="メモ 12 2 7 2" xfId="8019"/>
    <cellStyle name="メモ 12 2 8" xfId="7052"/>
    <cellStyle name="メモ 12 3" xfId="3113"/>
    <cellStyle name="メモ 12 3 2" xfId="5386"/>
    <cellStyle name="メモ 12 3 2 2" xfId="8178"/>
    <cellStyle name="メモ 12 3 3" xfId="7211"/>
    <cellStyle name="メモ 12 4" xfId="2250"/>
    <cellStyle name="メモ 12 4 2" xfId="6915"/>
    <cellStyle name="メモ 12 5" xfId="2022"/>
    <cellStyle name="メモ 13" xfId="777"/>
    <cellStyle name="メモ 13 10" xfId="778"/>
    <cellStyle name="メモ 13 10 10" xfId="4291"/>
    <cellStyle name="メモ 13 10 10 2" xfId="6564"/>
    <cellStyle name="メモ 13 10 10 2 2" xfId="11368"/>
    <cellStyle name="メモ 13 10 10 3" xfId="10059"/>
    <cellStyle name="メモ 13 10 11" xfId="4383"/>
    <cellStyle name="メモ 13 10 11 2" xfId="6656"/>
    <cellStyle name="メモ 13 10 11 2 2" xfId="11457"/>
    <cellStyle name="メモ 13 10 11 3" xfId="10148"/>
    <cellStyle name="メモ 13 10 12" xfId="4473"/>
    <cellStyle name="メモ 13 10 12 2" xfId="6746"/>
    <cellStyle name="メモ 13 10 12 2 2" xfId="11546"/>
    <cellStyle name="メモ 13 10 12 3" xfId="10237"/>
    <cellStyle name="メモ 13 10 13" xfId="4569"/>
    <cellStyle name="メモ 13 10 13 2" xfId="10326"/>
    <cellStyle name="メモ 13 10 14" xfId="2195"/>
    <cellStyle name="メモ 13 10 14 2" xfId="11637"/>
    <cellStyle name="メモ 13 10 15" xfId="9017"/>
    <cellStyle name="メモ 13 10 2" xfId="2501"/>
    <cellStyle name="メモ 13 10 2 2" xfId="3047"/>
    <cellStyle name="メモ 13 10 2 2 2" xfId="5320"/>
    <cellStyle name="メモ 13 10 2 2 2 2" xfId="10932"/>
    <cellStyle name="メモ 13 10 2 2 3" xfId="9623"/>
    <cellStyle name="メモ 13 10 2 3" xfId="3619"/>
    <cellStyle name="メモ 13 10 2 3 2" xfId="5892"/>
    <cellStyle name="メモ 13 10 2 3 2 2" xfId="11106"/>
    <cellStyle name="メモ 13 10 2 3 3" xfId="9797"/>
    <cellStyle name="メモ 13 10 2 4" xfId="4182"/>
    <cellStyle name="メモ 13 10 2 4 2" xfId="6455"/>
    <cellStyle name="メモ 13 10 2 4 2 2" xfId="11280"/>
    <cellStyle name="メモ 13 10 2 4 3" xfId="9971"/>
    <cellStyle name="メモ 13 10 2 5" xfId="4781"/>
    <cellStyle name="メモ 13 10 2 5 2" xfId="10400"/>
    <cellStyle name="メモ 13 10 2 6" xfId="9091"/>
    <cellStyle name="メモ 13 10 3" xfId="2595"/>
    <cellStyle name="メモ 13 10 3 2" xfId="4873"/>
    <cellStyle name="メモ 13 10 3 2 2" xfId="10490"/>
    <cellStyle name="メモ 13 10 3 3" xfId="9181"/>
    <cellStyle name="メモ 13 10 4" xfId="2685"/>
    <cellStyle name="メモ 13 10 4 2" xfId="4963"/>
    <cellStyle name="メモ 13 10 4 2 2" xfId="10579"/>
    <cellStyle name="メモ 13 10 4 3" xfId="9270"/>
    <cellStyle name="メモ 13 10 5" xfId="2780"/>
    <cellStyle name="メモ 13 10 5 2" xfId="5053"/>
    <cellStyle name="メモ 13 10 5 2 2" xfId="10668"/>
    <cellStyle name="メモ 13 10 5 3" xfId="9359"/>
    <cellStyle name="メモ 13 10 6" xfId="2870"/>
    <cellStyle name="メモ 13 10 6 2" xfId="5143"/>
    <cellStyle name="メモ 13 10 6 2 2" xfId="10757"/>
    <cellStyle name="メモ 13 10 6 3" xfId="9448"/>
    <cellStyle name="メモ 13 10 7" xfId="2959"/>
    <cellStyle name="メモ 13 10 7 2" xfId="5232"/>
    <cellStyle name="メモ 13 10 7 2 2" xfId="10844"/>
    <cellStyle name="メモ 13 10 7 3" xfId="9535"/>
    <cellStyle name="メモ 13 10 8" xfId="3395"/>
    <cellStyle name="メモ 13 10 8 2" xfId="5668"/>
    <cellStyle name="メモ 13 10 8 2 2" xfId="11018"/>
    <cellStyle name="メモ 13 10 8 3" xfId="9709"/>
    <cellStyle name="メモ 13 10 9" xfId="4089"/>
    <cellStyle name="メモ 13 10 9 2" xfId="6362"/>
    <cellStyle name="メモ 13 10 9 2 2" xfId="11192"/>
    <cellStyle name="メモ 13 10 9 3" xfId="9883"/>
    <cellStyle name="メモ 13 11" xfId="2431"/>
    <cellStyle name="メモ 13 11 2" xfId="2965"/>
    <cellStyle name="メモ 13 11 2 2" xfId="5238"/>
    <cellStyle name="メモ 13 11 2 2 2" xfId="10850"/>
    <cellStyle name="メモ 13 11 2 3" xfId="9541"/>
    <cellStyle name="メモ 13 11 3" xfId="3532"/>
    <cellStyle name="メモ 13 11 3 2" xfId="5805"/>
    <cellStyle name="メモ 13 11 3 2 2" xfId="11024"/>
    <cellStyle name="メモ 13 11 3 3" xfId="9715"/>
    <cellStyle name="メモ 13 11 4" xfId="4100"/>
    <cellStyle name="メモ 13 11 4 2" xfId="6373"/>
    <cellStyle name="メモ 13 11 4 2 2" xfId="11198"/>
    <cellStyle name="メモ 13 11 4 3" xfId="9889"/>
    <cellStyle name="メモ 13 11 5" xfId="4713"/>
    <cellStyle name="メモ 13 11 5 2" xfId="10333"/>
    <cellStyle name="メモ 13 11 6" xfId="9024"/>
    <cellStyle name="メモ 13 12" xfId="2504"/>
    <cellStyle name="メモ 13 12 2" xfId="4784"/>
    <cellStyle name="メモ 13 12 2 2" xfId="10403"/>
    <cellStyle name="メモ 13 12 3" xfId="9094"/>
    <cellStyle name="メモ 13 13" xfId="2513"/>
    <cellStyle name="メモ 13 13 2" xfId="4791"/>
    <cellStyle name="メモ 13 13 2 2" xfId="10408"/>
    <cellStyle name="メモ 13 13 3" xfId="9099"/>
    <cellStyle name="メモ 13 14" xfId="2603"/>
    <cellStyle name="メモ 13 14 2" xfId="4881"/>
    <cellStyle name="メモ 13 14 2 2" xfId="10497"/>
    <cellStyle name="メモ 13 14 3" xfId="9188"/>
    <cellStyle name="メモ 13 15" xfId="2693"/>
    <cellStyle name="メモ 13 15 2" xfId="4971"/>
    <cellStyle name="メモ 13 15 2 2" xfId="10586"/>
    <cellStyle name="メモ 13 15 3" xfId="9277"/>
    <cellStyle name="メモ 13 16" xfId="2788"/>
    <cellStyle name="メモ 13 16 2" xfId="5061"/>
    <cellStyle name="メモ 13 16 2 2" xfId="10675"/>
    <cellStyle name="メモ 13 16 3" xfId="9366"/>
    <cellStyle name="メモ 13 17" xfId="2879"/>
    <cellStyle name="メモ 13 17 2" xfId="5152"/>
    <cellStyle name="メモ 13 17 2 2" xfId="10764"/>
    <cellStyle name="メモ 13 17 3" xfId="9455"/>
    <cellStyle name="メモ 13 18" xfId="3232"/>
    <cellStyle name="メモ 13 18 2" xfId="5505"/>
    <cellStyle name="メモ 13 18 2 2" xfId="10938"/>
    <cellStyle name="メモ 13 18 3" xfId="9629"/>
    <cellStyle name="メモ 13 19" xfId="3974"/>
    <cellStyle name="メモ 13 19 2" xfId="6247"/>
    <cellStyle name="メモ 13 19 2 2" xfId="11112"/>
    <cellStyle name="メモ 13 19 3" xfId="9803"/>
    <cellStyle name="メモ 13 2" xfId="779"/>
    <cellStyle name="メモ 13 2 10" xfId="4226"/>
    <cellStyle name="メモ 13 2 10 2" xfId="6499"/>
    <cellStyle name="メモ 13 2 10 2 2" xfId="11303"/>
    <cellStyle name="メモ 13 2 10 3" xfId="9994"/>
    <cellStyle name="メモ 13 2 11" xfId="4318"/>
    <cellStyle name="メモ 13 2 11 2" xfId="6591"/>
    <cellStyle name="メモ 13 2 11 2 2" xfId="11392"/>
    <cellStyle name="メモ 13 2 11 3" xfId="10083"/>
    <cellStyle name="メモ 13 2 12" xfId="4408"/>
    <cellStyle name="メモ 13 2 12 2" xfId="6681"/>
    <cellStyle name="メモ 13 2 12 2 2" xfId="11481"/>
    <cellStyle name="メモ 13 2 12 3" xfId="10172"/>
    <cellStyle name="メモ 13 2 13" xfId="4504"/>
    <cellStyle name="メモ 13 2 13 2" xfId="10261"/>
    <cellStyle name="メモ 13 2 14" xfId="2129"/>
    <cellStyle name="メモ 13 2 14 2" xfId="11582"/>
    <cellStyle name="メモ 13 2 15" xfId="8952"/>
    <cellStyle name="メモ 13 2 2" xfId="2442"/>
    <cellStyle name="メモ 13 2 2 2" xfId="2982"/>
    <cellStyle name="メモ 13 2 2 2 2" xfId="5255"/>
    <cellStyle name="メモ 13 2 2 2 2 2" xfId="10867"/>
    <cellStyle name="メモ 13 2 2 2 3" xfId="9558"/>
    <cellStyle name="メモ 13 2 2 3" xfId="3553"/>
    <cellStyle name="メモ 13 2 2 3 2" xfId="5826"/>
    <cellStyle name="メモ 13 2 2 3 2 2" xfId="11041"/>
    <cellStyle name="メモ 13 2 2 3 3" xfId="9732"/>
    <cellStyle name="メモ 13 2 2 4" xfId="4117"/>
    <cellStyle name="メモ 13 2 2 4 2" xfId="6390"/>
    <cellStyle name="メモ 13 2 2 4 2 2" xfId="11215"/>
    <cellStyle name="メモ 13 2 2 4 3" xfId="9906"/>
    <cellStyle name="メモ 13 2 2 5" xfId="4722"/>
    <cellStyle name="メモ 13 2 2 5 2" xfId="10341"/>
    <cellStyle name="メモ 13 2 2 6" xfId="9032"/>
    <cellStyle name="メモ 13 2 3" xfId="2530"/>
    <cellStyle name="メモ 13 2 3 2" xfId="4808"/>
    <cellStyle name="メモ 13 2 3 2 2" xfId="10425"/>
    <cellStyle name="メモ 13 2 3 3" xfId="9116"/>
    <cellStyle name="メモ 13 2 4" xfId="2620"/>
    <cellStyle name="メモ 13 2 4 2" xfId="4898"/>
    <cellStyle name="メモ 13 2 4 2 2" xfId="10514"/>
    <cellStyle name="メモ 13 2 4 3" xfId="9205"/>
    <cellStyle name="メモ 13 2 5" xfId="2710"/>
    <cellStyle name="メモ 13 2 5 2" xfId="4988"/>
    <cellStyle name="メモ 13 2 5 2 2" xfId="10603"/>
    <cellStyle name="メモ 13 2 5 3" xfId="9294"/>
    <cellStyle name="メモ 13 2 6" xfId="2805"/>
    <cellStyle name="メモ 13 2 6 2" xfId="5078"/>
    <cellStyle name="メモ 13 2 6 2 2" xfId="10692"/>
    <cellStyle name="メモ 13 2 6 3" xfId="9383"/>
    <cellStyle name="メモ 13 2 7" xfId="2891"/>
    <cellStyle name="メモ 13 2 7 2" xfId="5164"/>
    <cellStyle name="メモ 13 2 7 2 2" xfId="10776"/>
    <cellStyle name="メモ 13 2 7 3" xfId="9467"/>
    <cellStyle name="メモ 13 2 8" xfId="3245"/>
    <cellStyle name="メモ 13 2 8 2" xfId="5518"/>
    <cellStyle name="メモ 13 2 8 2 2" xfId="10950"/>
    <cellStyle name="メモ 13 2 8 3" xfId="9641"/>
    <cellStyle name="メモ 13 2 9" xfId="3986"/>
    <cellStyle name="メモ 13 2 9 2" xfId="6259"/>
    <cellStyle name="メモ 13 2 9 2 2" xfId="11124"/>
    <cellStyle name="メモ 13 2 9 3" xfId="9815"/>
    <cellStyle name="メモ 13 20" xfId="4209"/>
    <cellStyle name="メモ 13 20 2" xfId="6482"/>
    <cellStyle name="メモ 13 20 2 2" xfId="11286"/>
    <cellStyle name="メモ 13 20 3" xfId="9977"/>
    <cellStyle name="メモ 13 21" xfId="4301"/>
    <cellStyle name="メモ 13 21 2" xfId="6574"/>
    <cellStyle name="メモ 13 21 2 2" xfId="11375"/>
    <cellStyle name="メモ 13 21 3" xfId="10066"/>
    <cellStyle name="メモ 13 22" xfId="4391"/>
    <cellStyle name="メモ 13 22 2" xfId="6664"/>
    <cellStyle name="メモ 13 22 2 2" xfId="11464"/>
    <cellStyle name="メモ 13 22 3" xfId="10155"/>
    <cellStyle name="メモ 13 23" xfId="4487"/>
    <cellStyle name="メモ 13 23 2" xfId="10244"/>
    <cellStyle name="メモ 13 24" xfId="6765"/>
    <cellStyle name="メモ 13 25" xfId="2106"/>
    <cellStyle name="メモ 13 25 2" xfId="11574"/>
    <cellStyle name="メモ 13 26" xfId="8935"/>
    <cellStyle name="メモ 13 3" xfId="10"/>
    <cellStyle name="メモ 13 3 10" xfId="4233"/>
    <cellStyle name="メモ 13 3 10 2" xfId="6506"/>
    <cellStyle name="メモ 13 3 10 2 2" xfId="11310"/>
    <cellStyle name="メモ 13 3 10 3" xfId="10001"/>
    <cellStyle name="メモ 13 3 11" xfId="4325"/>
    <cellStyle name="メモ 13 3 11 2" xfId="6598"/>
    <cellStyle name="メモ 13 3 11 2 2" xfId="11399"/>
    <cellStyle name="メモ 13 3 11 3" xfId="10090"/>
    <cellStyle name="メモ 13 3 12" xfId="4415"/>
    <cellStyle name="メモ 13 3 12 2" xfId="6688"/>
    <cellStyle name="メモ 13 3 12 2 2" xfId="11488"/>
    <cellStyle name="メモ 13 3 12 3" xfId="10179"/>
    <cellStyle name="メモ 13 3 13" xfId="4511"/>
    <cellStyle name="メモ 13 3 13 2" xfId="10268"/>
    <cellStyle name="メモ 13 3 14" xfId="2137"/>
    <cellStyle name="メモ 13 3 14 2" xfId="11585"/>
    <cellStyle name="メモ 13 3 15" xfId="8959"/>
    <cellStyle name="メモ 13 3 2" xfId="2445"/>
    <cellStyle name="メモ 13 3 2 2" xfId="2989"/>
    <cellStyle name="メモ 13 3 2 2 2" xfId="5262"/>
    <cellStyle name="メモ 13 3 2 2 2 2" xfId="10874"/>
    <cellStyle name="メモ 13 3 2 2 3" xfId="9565"/>
    <cellStyle name="メモ 13 3 2 3" xfId="3560"/>
    <cellStyle name="メモ 13 3 2 3 2" xfId="5833"/>
    <cellStyle name="メモ 13 3 2 3 2 2" xfId="11048"/>
    <cellStyle name="メモ 13 3 2 3 3" xfId="9739"/>
    <cellStyle name="メモ 13 3 2 4" xfId="4124"/>
    <cellStyle name="メモ 13 3 2 4 2" xfId="6397"/>
    <cellStyle name="メモ 13 3 2 4 2 2" xfId="11222"/>
    <cellStyle name="メモ 13 3 2 4 3" xfId="9913"/>
    <cellStyle name="メモ 13 3 2 5" xfId="4725"/>
    <cellStyle name="メモ 13 3 2 5 2" xfId="10344"/>
    <cellStyle name="メモ 13 3 2 6" xfId="9035"/>
    <cellStyle name="メモ 13 3 3" xfId="2537"/>
    <cellStyle name="メモ 13 3 3 2" xfId="4815"/>
    <cellStyle name="メモ 13 3 3 2 2" xfId="10432"/>
    <cellStyle name="メモ 13 3 3 3" xfId="9123"/>
    <cellStyle name="メモ 13 3 4" xfId="2627"/>
    <cellStyle name="メモ 13 3 4 2" xfId="4905"/>
    <cellStyle name="メモ 13 3 4 2 2" xfId="10521"/>
    <cellStyle name="メモ 13 3 4 3" xfId="9212"/>
    <cellStyle name="メモ 13 3 5" xfId="2717"/>
    <cellStyle name="メモ 13 3 5 2" xfId="4995"/>
    <cellStyle name="メモ 13 3 5 2 2" xfId="10610"/>
    <cellStyle name="メモ 13 3 5 3" xfId="9301"/>
    <cellStyle name="メモ 13 3 6" xfId="2812"/>
    <cellStyle name="メモ 13 3 6 2" xfId="5085"/>
    <cellStyle name="メモ 13 3 6 2 2" xfId="10699"/>
    <cellStyle name="メモ 13 3 6 3" xfId="9390"/>
    <cellStyle name="メモ 13 3 7" xfId="2901"/>
    <cellStyle name="メモ 13 3 7 2" xfId="5174"/>
    <cellStyle name="メモ 13 3 7 2 2" xfId="10786"/>
    <cellStyle name="メモ 13 3 7 3" xfId="9477"/>
    <cellStyle name="メモ 13 3 8" xfId="3255"/>
    <cellStyle name="メモ 13 3 8 2" xfId="5528"/>
    <cellStyle name="メモ 13 3 8 2 2" xfId="10960"/>
    <cellStyle name="メモ 13 3 8 3" xfId="9651"/>
    <cellStyle name="メモ 13 3 9" xfId="3996"/>
    <cellStyle name="メモ 13 3 9 2" xfId="6269"/>
    <cellStyle name="メモ 13 3 9 2 2" xfId="11134"/>
    <cellStyle name="メモ 13 3 9 3" xfId="9825"/>
    <cellStyle name="メモ 13 4" xfId="780"/>
    <cellStyle name="メモ 13 4 10" xfId="4246"/>
    <cellStyle name="メモ 13 4 10 2" xfId="6519"/>
    <cellStyle name="メモ 13 4 10 2 2" xfId="11323"/>
    <cellStyle name="メモ 13 4 10 3" xfId="10014"/>
    <cellStyle name="メモ 13 4 11" xfId="4338"/>
    <cellStyle name="メモ 13 4 11 2" xfId="6611"/>
    <cellStyle name="メモ 13 4 11 2 2" xfId="11412"/>
    <cellStyle name="メモ 13 4 11 3" xfId="10103"/>
    <cellStyle name="メモ 13 4 12" xfId="4428"/>
    <cellStyle name="メモ 13 4 12 2" xfId="6701"/>
    <cellStyle name="メモ 13 4 12 2 2" xfId="11501"/>
    <cellStyle name="メモ 13 4 12 3" xfId="10192"/>
    <cellStyle name="メモ 13 4 13" xfId="4524"/>
    <cellStyle name="メモ 13 4 13 2" xfId="10281"/>
    <cellStyle name="メモ 13 4 14" xfId="2150"/>
    <cellStyle name="メモ 13 4 14 2" xfId="11596"/>
    <cellStyle name="メモ 13 4 15" xfId="8972"/>
    <cellStyle name="メモ 13 4 2" xfId="2456"/>
    <cellStyle name="メモ 13 4 2 2" xfId="3002"/>
    <cellStyle name="メモ 13 4 2 2 2" xfId="5275"/>
    <cellStyle name="メモ 13 4 2 2 2 2" xfId="10887"/>
    <cellStyle name="メモ 13 4 2 2 3" xfId="9578"/>
    <cellStyle name="メモ 13 4 2 3" xfId="3573"/>
    <cellStyle name="メモ 13 4 2 3 2" xfId="5846"/>
    <cellStyle name="メモ 13 4 2 3 2 2" xfId="11061"/>
    <cellStyle name="メモ 13 4 2 3 3" xfId="9752"/>
    <cellStyle name="メモ 13 4 2 4" xfId="4137"/>
    <cellStyle name="メモ 13 4 2 4 2" xfId="6410"/>
    <cellStyle name="メモ 13 4 2 4 2 2" xfId="11235"/>
    <cellStyle name="メモ 13 4 2 4 3" xfId="9926"/>
    <cellStyle name="メモ 13 4 2 5" xfId="4736"/>
    <cellStyle name="メモ 13 4 2 5 2" xfId="10355"/>
    <cellStyle name="メモ 13 4 2 6" xfId="9046"/>
    <cellStyle name="メモ 13 4 3" xfId="2550"/>
    <cellStyle name="メモ 13 4 3 2" xfId="4828"/>
    <cellStyle name="メモ 13 4 3 2 2" xfId="10445"/>
    <cellStyle name="メモ 13 4 3 3" xfId="9136"/>
    <cellStyle name="メモ 13 4 4" xfId="2640"/>
    <cellStyle name="メモ 13 4 4 2" xfId="4918"/>
    <cellStyle name="メモ 13 4 4 2 2" xfId="10534"/>
    <cellStyle name="メモ 13 4 4 3" xfId="9225"/>
    <cellStyle name="メモ 13 4 5" xfId="2730"/>
    <cellStyle name="メモ 13 4 5 2" xfId="5008"/>
    <cellStyle name="メモ 13 4 5 2 2" xfId="10623"/>
    <cellStyle name="メモ 13 4 5 3" xfId="9314"/>
    <cellStyle name="メモ 13 4 6" xfId="2825"/>
    <cellStyle name="メモ 13 4 6 2" xfId="5098"/>
    <cellStyle name="メモ 13 4 6 2 2" xfId="10712"/>
    <cellStyle name="メモ 13 4 6 3" xfId="9403"/>
    <cellStyle name="メモ 13 4 7" xfId="2914"/>
    <cellStyle name="メモ 13 4 7 2" xfId="5187"/>
    <cellStyle name="メモ 13 4 7 2 2" xfId="10799"/>
    <cellStyle name="メモ 13 4 7 3" xfId="9490"/>
    <cellStyle name="メモ 13 4 8" xfId="3272"/>
    <cellStyle name="メモ 13 4 8 2" xfId="5545"/>
    <cellStyle name="メモ 13 4 8 2 2" xfId="10973"/>
    <cellStyle name="メモ 13 4 8 3" xfId="9664"/>
    <cellStyle name="メモ 13 4 9" xfId="4031"/>
    <cellStyle name="メモ 13 4 9 2" xfId="6304"/>
    <cellStyle name="メモ 13 4 9 2 2" xfId="11147"/>
    <cellStyle name="メモ 13 4 9 3" xfId="9838"/>
    <cellStyle name="メモ 13 5" xfId="781"/>
    <cellStyle name="メモ 13 5 10" xfId="4253"/>
    <cellStyle name="メモ 13 5 10 2" xfId="6526"/>
    <cellStyle name="メモ 13 5 10 2 2" xfId="11330"/>
    <cellStyle name="メモ 13 5 10 3" xfId="10021"/>
    <cellStyle name="メモ 13 5 11" xfId="4345"/>
    <cellStyle name="メモ 13 5 11 2" xfId="6618"/>
    <cellStyle name="メモ 13 5 11 2 2" xfId="11419"/>
    <cellStyle name="メモ 13 5 11 3" xfId="10110"/>
    <cellStyle name="メモ 13 5 12" xfId="4435"/>
    <cellStyle name="メモ 13 5 12 2" xfId="6708"/>
    <cellStyle name="メモ 13 5 12 2 2" xfId="11508"/>
    <cellStyle name="メモ 13 5 12 3" xfId="10199"/>
    <cellStyle name="メモ 13 5 13" xfId="4531"/>
    <cellStyle name="メモ 13 5 13 2" xfId="10288"/>
    <cellStyle name="メモ 13 5 14" xfId="2157"/>
    <cellStyle name="メモ 13 5 14 2" xfId="11603"/>
    <cellStyle name="メモ 13 5 15" xfId="8979"/>
    <cellStyle name="メモ 13 5 2" xfId="2463"/>
    <cellStyle name="メモ 13 5 2 2" xfId="3009"/>
    <cellStyle name="メモ 13 5 2 2 2" xfId="5282"/>
    <cellStyle name="メモ 13 5 2 2 2 2" xfId="10894"/>
    <cellStyle name="メモ 13 5 2 2 3" xfId="9585"/>
    <cellStyle name="メモ 13 5 2 3" xfId="3580"/>
    <cellStyle name="メモ 13 5 2 3 2" xfId="5853"/>
    <cellStyle name="メモ 13 5 2 3 2 2" xfId="11068"/>
    <cellStyle name="メモ 13 5 2 3 3" xfId="9759"/>
    <cellStyle name="メモ 13 5 2 4" xfId="4144"/>
    <cellStyle name="メモ 13 5 2 4 2" xfId="6417"/>
    <cellStyle name="メモ 13 5 2 4 2 2" xfId="11242"/>
    <cellStyle name="メモ 13 5 2 4 3" xfId="9933"/>
    <cellStyle name="メモ 13 5 2 5" xfId="4743"/>
    <cellStyle name="メモ 13 5 2 5 2" xfId="10362"/>
    <cellStyle name="メモ 13 5 2 6" xfId="9053"/>
    <cellStyle name="メモ 13 5 3" xfId="2557"/>
    <cellStyle name="メモ 13 5 3 2" xfId="4835"/>
    <cellStyle name="メモ 13 5 3 2 2" xfId="10452"/>
    <cellStyle name="メモ 13 5 3 3" xfId="9143"/>
    <cellStyle name="メモ 13 5 4" xfId="2647"/>
    <cellStyle name="メモ 13 5 4 2" xfId="4925"/>
    <cellStyle name="メモ 13 5 4 2 2" xfId="10541"/>
    <cellStyle name="メモ 13 5 4 3" xfId="9232"/>
    <cellStyle name="メモ 13 5 5" xfId="2742"/>
    <cellStyle name="メモ 13 5 5 2" xfId="5015"/>
    <cellStyle name="メモ 13 5 5 2 2" xfId="10630"/>
    <cellStyle name="メモ 13 5 5 3" xfId="9321"/>
    <cellStyle name="メモ 13 5 6" xfId="2832"/>
    <cellStyle name="メモ 13 5 6 2" xfId="5105"/>
    <cellStyle name="メモ 13 5 6 2 2" xfId="10719"/>
    <cellStyle name="メモ 13 5 6 3" xfId="9410"/>
    <cellStyle name="メモ 13 5 7" xfId="2921"/>
    <cellStyle name="メモ 13 5 7 2" xfId="5194"/>
    <cellStyle name="メモ 13 5 7 2 2" xfId="10806"/>
    <cellStyle name="メモ 13 5 7 3" xfId="9497"/>
    <cellStyle name="メモ 13 5 8" xfId="3350"/>
    <cellStyle name="メモ 13 5 8 2" xfId="5623"/>
    <cellStyle name="メモ 13 5 8 2 2" xfId="10980"/>
    <cellStyle name="メモ 13 5 8 3" xfId="9671"/>
    <cellStyle name="メモ 13 5 9" xfId="4051"/>
    <cellStyle name="メモ 13 5 9 2" xfId="6324"/>
    <cellStyle name="メモ 13 5 9 2 2" xfId="11154"/>
    <cellStyle name="メモ 13 5 9 3" xfId="9845"/>
    <cellStyle name="メモ 13 6" xfId="782"/>
    <cellStyle name="メモ 13 6 10" xfId="4062"/>
    <cellStyle name="メモ 13 6 10 2" xfId="6335"/>
    <cellStyle name="メモ 13 6 10 2 2" xfId="11165"/>
    <cellStyle name="メモ 13 6 10 3" xfId="9856"/>
    <cellStyle name="メモ 13 6 11" xfId="4264"/>
    <cellStyle name="メモ 13 6 11 2" xfId="6537"/>
    <cellStyle name="メモ 13 6 11 2 2" xfId="11341"/>
    <cellStyle name="メモ 13 6 11 3" xfId="10032"/>
    <cellStyle name="メモ 13 6 12" xfId="4356"/>
    <cellStyle name="メモ 13 6 12 2" xfId="6629"/>
    <cellStyle name="メモ 13 6 12 2 2" xfId="11430"/>
    <cellStyle name="メモ 13 6 12 3" xfId="10121"/>
    <cellStyle name="メモ 13 6 13" xfId="4446"/>
    <cellStyle name="メモ 13 6 13 2" xfId="6719"/>
    <cellStyle name="メモ 13 6 13 2 2" xfId="11519"/>
    <cellStyle name="メモ 13 6 13 3" xfId="10210"/>
    <cellStyle name="メモ 13 6 14" xfId="4542"/>
    <cellStyle name="メモ 13 6 14 2" xfId="10299"/>
    <cellStyle name="メモ 13 6 15" xfId="2168"/>
    <cellStyle name="メモ 13 6 15 2" xfId="11614"/>
    <cellStyle name="メモ 13 6 16" xfId="8990"/>
    <cellStyle name="メモ 13 6 2" xfId="2197"/>
    <cellStyle name="メモ 13 6 2 10" xfId="4293"/>
    <cellStyle name="メモ 13 6 2 10 2" xfId="6566"/>
    <cellStyle name="メモ 13 6 2 10 2 2" xfId="11370"/>
    <cellStyle name="メモ 13 6 2 10 3" xfId="10061"/>
    <cellStyle name="メモ 13 6 2 11" xfId="4385"/>
    <cellStyle name="メモ 13 6 2 11 2" xfId="6658"/>
    <cellStyle name="メモ 13 6 2 11 2 2" xfId="11459"/>
    <cellStyle name="メモ 13 6 2 11 3" xfId="10150"/>
    <cellStyle name="メモ 13 6 2 12" xfId="4475"/>
    <cellStyle name="メモ 13 6 2 12 2" xfId="6748"/>
    <cellStyle name="メモ 13 6 2 12 2 2" xfId="11548"/>
    <cellStyle name="メモ 13 6 2 12 3" xfId="10239"/>
    <cellStyle name="メモ 13 6 2 13" xfId="4571"/>
    <cellStyle name="メモ 13 6 2 13 2" xfId="10328"/>
    <cellStyle name="メモ 13 6 2 14" xfId="9019"/>
    <cellStyle name="メモ 13 6 2 2" xfId="2503"/>
    <cellStyle name="メモ 13 6 2 2 2" xfId="3049"/>
    <cellStyle name="メモ 13 6 2 2 2 2" xfId="5322"/>
    <cellStyle name="メモ 13 6 2 2 2 2 2" xfId="10934"/>
    <cellStyle name="メモ 13 6 2 2 2 3" xfId="9625"/>
    <cellStyle name="メモ 13 6 2 2 3" xfId="3621"/>
    <cellStyle name="メモ 13 6 2 2 3 2" xfId="5894"/>
    <cellStyle name="メモ 13 6 2 2 3 2 2" xfId="11108"/>
    <cellStyle name="メモ 13 6 2 2 3 3" xfId="9799"/>
    <cellStyle name="メモ 13 6 2 2 4" xfId="4184"/>
    <cellStyle name="メモ 13 6 2 2 4 2" xfId="6457"/>
    <cellStyle name="メモ 13 6 2 2 4 2 2" xfId="11282"/>
    <cellStyle name="メモ 13 6 2 2 4 3" xfId="9973"/>
    <cellStyle name="メモ 13 6 2 2 5" xfId="4783"/>
    <cellStyle name="メモ 13 6 2 2 5 2" xfId="10402"/>
    <cellStyle name="メモ 13 6 2 2 6" xfId="9093"/>
    <cellStyle name="メモ 13 6 2 3" xfId="2597"/>
    <cellStyle name="メモ 13 6 2 3 2" xfId="4875"/>
    <cellStyle name="メモ 13 6 2 3 2 2" xfId="10492"/>
    <cellStyle name="メモ 13 6 2 3 3" xfId="9183"/>
    <cellStyle name="メモ 13 6 2 4" xfId="2687"/>
    <cellStyle name="メモ 13 6 2 4 2" xfId="4965"/>
    <cellStyle name="メモ 13 6 2 4 2 2" xfId="10581"/>
    <cellStyle name="メモ 13 6 2 4 3" xfId="9272"/>
    <cellStyle name="メモ 13 6 2 5" xfId="2782"/>
    <cellStyle name="メモ 13 6 2 5 2" xfId="5055"/>
    <cellStyle name="メモ 13 6 2 5 2 2" xfId="10670"/>
    <cellStyle name="メモ 13 6 2 5 3" xfId="9361"/>
    <cellStyle name="メモ 13 6 2 6" xfId="2872"/>
    <cellStyle name="メモ 13 6 2 6 2" xfId="5145"/>
    <cellStyle name="メモ 13 6 2 6 2 2" xfId="10759"/>
    <cellStyle name="メモ 13 6 2 6 3" xfId="9450"/>
    <cellStyle name="メモ 13 6 2 7" xfId="2961"/>
    <cellStyle name="メモ 13 6 2 7 2" xfId="5234"/>
    <cellStyle name="メモ 13 6 2 7 2 2" xfId="10846"/>
    <cellStyle name="メモ 13 6 2 7 3" xfId="9537"/>
    <cellStyle name="メモ 13 6 2 8" xfId="3397"/>
    <cellStyle name="メモ 13 6 2 8 2" xfId="5670"/>
    <cellStyle name="メモ 13 6 2 8 2 2" xfId="11020"/>
    <cellStyle name="メモ 13 6 2 8 3" xfId="9711"/>
    <cellStyle name="メモ 13 6 2 9" xfId="4091"/>
    <cellStyle name="メモ 13 6 2 9 2" xfId="6364"/>
    <cellStyle name="メモ 13 6 2 9 2 2" xfId="11194"/>
    <cellStyle name="メモ 13 6 2 9 3" xfId="9885"/>
    <cellStyle name="メモ 13 6 3" xfId="2474"/>
    <cellStyle name="メモ 13 6 3 2" xfId="3020"/>
    <cellStyle name="メモ 13 6 3 2 2" xfId="5293"/>
    <cellStyle name="メモ 13 6 3 2 2 2" xfId="10905"/>
    <cellStyle name="メモ 13 6 3 2 3" xfId="9596"/>
    <cellStyle name="メモ 13 6 3 3" xfId="3591"/>
    <cellStyle name="メモ 13 6 3 3 2" xfId="5864"/>
    <cellStyle name="メモ 13 6 3 3 2 2" xfId="11079"/>
    <cellStyle name="メモ 13 6 3 3 3" xfId="9770"/>
    <cellStyle name="メモ 13 6 3 4" xfId="4155"/>
    <cellStyle name="メモ 13 6 3 4 2" xfId="6428"/>
    <cellStyle name="メモ 13 6 3 4 2 2" xfId="11253"/>
    <cellStyle name="メモ 13 6 3 4 3" xfId="9944"/>
    <cellStyle name="メモ 13 6 3 5" xfId="4754"/>
    <cellStyle name="メモ 13 6 3 5 2" xfId="10373"/>
    <cellStyle name="メモ 13 6 3 6" xfId="9064"/>
    <cellStyle name="メモ 13 6 4" xfId="2568"/>
    <cellStyle name="メモ 13 6 4 2" xfId="4846"/>
    <cellStyle name="メモ 13 6 4 2 2" xfId="10463"/>
    <cellStyle name="メモ 13 6 4 3" xfId="9154"/>
    <cellStyle name="メモ 13 6 5" xfId="2658"/>
    <cellStyle name="メモ 13 6 5 2" xfId="4936"/>
    <cellStyle name="メモ 13 6 5 2 2" xfId="10552"/>
    <cellStyle name="メモ 13 6 5 3" xfId="9243"/>
    <cellStyle name="メモ 13 6 6" xfId="2753"/>
    <cellStyle name="メモ 13 6 6 2" xfId="5026"/>
    <cellStyle name="メモ 13 6 6 2 2" xfId="10641"/>
    <cellStyle name="メモ 13 6 6 3" xfId="9332"/>
    <cellStyle name="メモ 13 6 7" xfId="2843"/>
    <cellStyle name="メモ 13 6 7 2" xfId="5116"/>
    <cellStyle name="メモ 13 6 7 2 2" xfId="10730"/>
    <cellStyle name="メモ 13 6 7 3" xfId="9421"/>
    <cellStyle name="メモ 13 6 8" xfId="2932"/>
    <cellStyle name="メモ 13 6 8 2" xfId="5205"/>
    <cellStyle name="メモ 13 6 8 2 2" xfId="10817"/>
    <cellStyle name="メモ 13 6 8 3" xfId="9508"/>
    <cellStyle name="メモ 13 6 9" xfId="3361"/>
    <cellStyle name="メモ 13 6 9 2" xfId="5634"/>
    <cellStyle name="メモ 13 6 9 2 2" xfId="10991"/>
    <cellStyle name="メモ 13 6 9 3" xfId="9682"/>
    <cellStyle name="メモ 13 7" xfId="783"/>
    <cellStyle name="メモ 13 7 10" xfId="4271"/>
    <cellStyle name="メモ 13 7 10 2" xfId="6544"/>
    <cellStyle name="メモ 13 7 10 2 2" xfId="11348"/>
    <cellStyle name="メモ 13 7 10 3" xfId="10039"/>
    <cellStyle name="メモ 13 7 11" xfId="4363"/>
    <cellStyle name="メモ 13 7 11 2" xfId="6636"/>
    <cellStyle name="メモ 13 7 11 2 2" xfId="11437"/>
    <cellStyle name="メモ 13 7 11 3" xfId="10128"/>
    <cellStyle name="メモ 13 7 12" xfId="4453"/>
    <cellStyle name="メモ 13 7 12 2" xfId="6726"/>
    <cellStyle name="メモ 13 7 12 2 2" xfId="11526"/>
    <cellStyle name="メモ 13 7 12 3" xfId="10217"/>
    <cellStyle name="メモ 13 7 13" xfId="4549"/>
    <cellStyle name="メモ 13 7 13 2" xfId="10306"/>
    <cellStyle name="メモ 13 7 14" xfId="2175"/>
    <cellStyle name="メモ 13 7 14 2" xfId="11621"/>
    <cellStyle name="メモ 13 7 15" xfId="8997"/>
    <cellStyle name="メモ 13 7 2" xfId="2481"/>
    <cellStyle name="メモ 13 7 2 2" xfId="3027"/>
    <cellStyle name="メモ 13 7 2 2 2" xfId="5300"/>
    <cellStyle name="メモ 13 7 2 2 2 2" xfId="10912"/>
    <cellStyle name="メモ 13 7 2 2 3" xfId="9603"/>
    <cellStyle name="メモ 13 7 2 3" xfId="3598"/>
    <cellStyle name="メモ 13 7 2 3 2" xfId="5871"/>
    <cellStyle name="メモ 13 7 2 3 2 2" xfId="11086"/>
    <cellStyle name="メモ 13 7 2 3 3" xfId="9777"/>
    <cellStyle name="メモ 13 7 2 4" xfId="4162"/>
    <cellStyle name="メモ 13 7 2 4 2" xfId="6435"/>
    <cellStyle name="メモ 13 7 2 4 2 2" xfId="11260"/>
    <cellStyle name="メモ 13 7 2 4 3" xfId="9951"/>
    <cellStyle name="メモ 13 7 2 5" xfId="4761"/>
    <cellStyle name="メモ 13 7 2 5 2" xfId="10380"/>
    <cellStyle name="メモ 13 7 2 6" xfId="9071"/>
    <cellStyle name="メモ 13 7 3" xfId="2575"/>
    <cellStyle name="メモ 13 7 3 2" xfId="4853"/>
    <cellStyle name="メモ 13 7 3 2 2" xfId="10470"/>
    <cellStyle name="メモ 13 7 3 3" xfId="9161"/>
    <cellStyle name="メモ 13 7 4" xfId="2665"/>
    <cellStyle name="メモ 13 7 4 2" xfId="4943"/>
    <cellStyle name="メモ 13 7 4 2 2" xfId="10559"/>
    <cellStyle name="メモ 13 7 4 3" xfId="9250"/>
    <cellStyle name="メモ 13 7 5" xfId="2760"/>
    <cellStyle name="メモ 13 7 5 2" xfId="5033"/>
    <cellStyle name="メモ 13 7 5 2 2" xfId="10648"/>
    <cellStyle name="メモ 13 7 5 3" xfId="9339"/>
    <cellStyle name="メモ 13 7 6" xfId="2850"/>
    <cellStyle name="メモ 13 7 6 2" xfId="5123"/>
    <cellStyle name="メモ 13 7 6 2 2" xfId="10737"/>
    <cellStyle name="メモ 13 7 6 3" xfId="9428"/>
    <cellStyle name="メモ 13 7 7" xfId="2939"/>
    <cellStyle name="メモ 13 7 7 2" xfId="5212"/>
    <cellStyle name="メモ 13 7 7 2 2" xfId="10824"/>
    <cellStyle name="メモ 13 7 7 3" xfId="9515"/>
    <cellStyle name="メモ 13 7 8" xfId="3368"/>
    <cellStyle name="メモ 13 7 8 2" xfId="5641"/>
    <cellStyle name="メモ 13 7 8 2 2" xfId="10998"/>
    <cellStyle name="メモ 13 7 8 3" xfId="9689"/>
    <cellStyle name="メモ 13 7 9" xfId="4069"/>
    <cellStyle name="メモ 13 7 9 2" xfId="6342"/>
    <cellStyle name="メモ 13 7 9 2 2" xfId="11172"/>
    <cellStyle name="メモ 13 7 9 3" xfId="9863"/>
    <cellStyle name="メモ 13 8" xfId="784"/>
    <cellStyle name="メモ 13 8 10" xfId="4278"/>
    <cellStyle name="メモ 13 8 10 2" xfId="6551"/>
    <cellStyle name="メモ 13 8 10 2 2" xfId="11355"/>
    <cellStyle name="メモ 13 8 10 3" xfId="10046"/>
    <cellStyle name="メモ 13 8 11" xfId="4370"/>
    <cellStyle name="メモ 13 8 11 2" xfId="6643"/>
    <cellStyle name="メモ 13 8 11 2 2" xfId="11444"/>
    <cellStyle name="メモ 13 8 11 3" xfId="10135"/>
    <cellStyle name="メモ 13 8 12" xfId="4460"/>
    <cellStyle name="メモ 13 8 12 2" xfId="6733"/>
    <cellStyle name="メモ 13 8 12 2 2" xfId="11533"/>
    <cellStyle name="メモ 13 8 12 3" xfId="10224"/>
    <cellStyle name="メモ 13 8 13" xfId="4556"/>
    <cellStyle name="メモ 13 8 13 2" xfId="10313"/>
    <cellStyle name="メモ 13 8 14" xfId="2182"/>
    <cellStyle name="メモ 13 8 14 2" xfId="11628"/>
    <cellStyle name="メモ 13 8 15" xfId="9004"/>
    <cellStyle name="メモ 13 8 2" xfId="2488"/>
    <cellStyle name="メモ 13 8 2 2" xfId="3034"/>
    <cellStyle name="メモ 13 8 2 2 2" xfId="5307"/>
    <cellStyle name="メモ 13 8 2 2 2 2" xfId="10919"/>
    <cellStyle name="メモ 13 8 2 2 3" xfId="9610"/>
    <cellStyle name="メモ 13 8 2 3" xfId="3605"/>
    <cellStyle name="メモ 13 8 2 3 2" xfId="5878"/>
    <cellStyle name="メモ 13 8 2 3 2 2" xfId="11093"/>
    <cellStyle name="メモ 13 8 2 3 3" xfId="9784"/>
    <cellStyle name="メモ 13 8 2 4" xfId="4169"/>
    <cellStyle name="メモ 13 8 2 4 2" xfId="6442"/>
    <cellStyle name="メモ 13 8 2 4 2 2" xfId="11267"/>
    <cellStyle name="メモ 13 8 2 4 3" xfId="9958"/>
    <cellStyle name="メモ 13 8 2 5" xfId="4768"/>
    <cellStyle name="メモ 13 8 2 5 2" xfId="10387"/>
    <cellStyle name="メモ 13 8 2 6" xfId="9078"/>
    <cellStyle name="メモ 13 8 3" xfId="2582"/>
    <cellStyle name="メモ 13 8 3 2" xfId="4860"/>
    <cellStyle name="メモ 13 8 3 2 2" xfId="10477"/>
    <cellStyle name="メモ 13 8 3 3" xfId="9168"/>
    <cellStyle name="メモ 13 8 4" xfId="2672"/>
    <cellStyle name="メモ 13 8 4 2" xfId="4950"/>
    <cellStyle name="メモ 13 8 4 2 2" xfId="10566"/>
    <cellStyle name="メモ 13 8 4 3" xfId="9257"/>
    <cellStyle name="メモ 13 8 5" xfId="2767"/>
    <cellStyle name="メモ 13 8 5 2" xfId="5040"/>
    <cellStyle name="メモ 13 8 5 2 2" xfId="10655"/>
    <cellStyle name="メモ 13 8 5 3" xfId="9346"/>
    <cellStyle name="メモ 13 8 6" xfId="2857"/>
    <cellStyle name="メモ 13 8 6 2" xfId="5130"/>
    <cellStyle name="メモ 13 8 6 2 2" xfId="10744"/>
    <cellStyle name="メモ 13 8 6 3" xfId="9435"/>
    <cellStyle name="メモ 13 8 7" xfId="2946"/>
    <cellStyle name="メモ 13 8 7 2" xfId="5219"/>
    <cellStyle name="メモ 13 8 7 2 2" xfId="10831"/>
    <cellStyle name="メモ 13 8 7 3" xfId="9522"/>
    <cellStyle name="メモ 13 8 8" xfId="3375"/>
    <cellStyle name="メモ 13 8 8 2" xfId="5648"/>
    <cellStyle name="メモ 13 8 8 2 2" xfId="11005"/>
    <cellStyle name="メモ 13 8 8 3" xfId="9696"/>
    <cellStyle name="メモ 13 8 9" xfId="4076"/>
    <cellStyle name="メモ 13 8 9 2" xfId="6349"/>
    <cellStyle name="メモ 13 8 9 2 2" xfId="11179"/>
    <cellStyle name="メモ 13 8 9 3" xfId="9870"/>
    <cellStyle name="メモ 13 9" xfId="785"/>
    <cellStyle name="メモ 13 9 10" xfId="4285"/>
    <cellStyle name="メモ 13 9 10 2" xfId="6558"/>
    <cellStyle name="メモ 13 9 10 2 2" xfId="11362"/>
    <cellStyle name="メモ 13 9 10 3" xfId="10053"/>
    <cellStyle name="メモ 13 9 11" xfId="4377"/>
    <cellStyle name="メモ 13 9 11 2" xfId="6650"/>
    <cellStyle name="メモ 13 9 11 2 2" xfId="11451"/>
    <cellStyle name="メモ 13 9 11 3" xfId="10142"/>
    <cellStyle name="メモ 13 9 12" xfId="4467"/>
    <cellStyle name="メモ 13 9 12 2" xfId="6740"/>
    <cellStyle name="メモ 13 9 12 2 2" xfId="11540"/>
    <cellStyle name="メモ 13 9 12 3" xfId="10231"/>
    <cellStyle name="メモ 13 9 13" xfId="4563"/>
    <cellStyle name="メモ 13 9 13 2" xfId="10320"/>
    <cellStyle name="メモ 13 9 14" xfId="2189"/>
    <cellStyle name="メモ 13 9 14 2" xfId="11635"/>
    <cellStyle name="メモ 13 9 15" xfId="9011"/>
    <cellStyle name="メモ 13 9 2" xfId="2495"/>
    <cellStyle name="メモ 13 9 2 2" xfId="3041"/>
    <cellStyle name="メモ 13 9 2 2 2" xfId="5314"/>
    <cellStyle name="メモ 13 9 2 2 2 2" xfId="10926"/>
    <cellStyle name="メモ 13 9 2 2 3" xfId="9617"/>
    <cellStyle name="メモ 13 9 2 3" xfId="3613"/>
    <cellStyle name="メモ 13 9 2 3 2" xfId="5886"/>
    <cellStyle name="メモ 13 9 2 3 2 2" xfId="11100"/>
    <cellStyle name="メモ 13 9 2 3 3" xfId="9791"/>
    <cellStyle name="メモ 13 9 2 4" xfId="4176"/>
    <cellStyle name="メモ 13 9 2 4 2" xfId="6449"/>
    <cellStyle name="メモ 13 9 2 4 2 2" xfId="11274"/>
    <cellStyle name="メモ 13 9 2 4 3" xfId="9965"/>
    <cellStyle name="メモ 13 9 2 5" xfId="4775"/>
    <cellStyle name="メモ 13 9 2 5 2" xfId="10394"/>
    <cellStyle name="メモ 13 9 2 6" xfId="9085"/>
    <cellStyle name="メモ 13 9 3" xfId="2589"/>
    <cellStyle name="メモ 13 9 3 2" xfId="4867"/>
    <cellStyle name="メモ 13 9 3 2 2" xfId="10484"/>
    <cellStyle name="メモ 13 9 3 3" xfId="9175"/>
    <cellStyle name="メモ 13 9 4" xfId="2679"/>
    <cellStyle name="メモ 13 9 4 2" xfId="4957"/>
    <cellStyle name="メモ 13 9 4 2 2" xfId="10573"/>
    <cellStyle name="メモ 13 9 4 3" xfId="9264"/>
    <cellStyle name="メモ 13 9 5" xfId="2774"/>
    <cellStyle name="メモ 13 9 5 2" xfId="5047"/>
    <cellStyle name="メモ 13 9 5 2 2" xfId="10662"/>
    <cellStyle name="メモ 13 9 5 3" xfId="9353"/>
    <cellStyle name="メモ 13 9 6" xfId="2864"/>
    <cellStyle name="メモ 13 9 6 2" xfId="5137"/>
    <cellStyle name="メモ 13 9 6 2 2" xfId="10751"/>
    <cellStyle name="メモ 13 9 6 3" xfId="9442"/>
    <cellStyle name="メモ 13 9 7" xfId="2953"/>
    <cellStyle name="メモ 13 9 7 2" xfId="5226"/>
    <cellStyle name="メモ 13 9 7 2 2" xfId="10838"/>
    <cellStyle name="メモ 13 9 7 3" xfId="9529"/>
    <cellStyle name="メモ 13 9 8" xfId="3384"/>
    <cellStyle name="メモ 13 9 8 2" xfId="5657"/>
    <cellStyle name="メモ 13 9 8 2 2" xfId="11012"/>
    <cellStyle name="メモ 13 9 8 3" xfId="9703"/>
    <cellStyle name="メモ 13 9 9" xfId="4083"/>
    <cellStyle name="メモ 13 9 9 2" xfId="6356"/>
    <cellStyle name="メモ 13 9 9 2 2" xfId="11186"/>
    <cellStyle name="メモ 13 9 9 3" xfId="9877"/>
    <cellStyle name="メモ 14" xfId="786"/>
    <cellStyle name="メモ 14 2" xfId="787"/>
    <cellStyle name="メモ 14 2 2" xfId="3442"/>
    <cellStyle name="メモ 14 2 2 2" xfId="5715"/>
    <cellStyle name="メモ 14 2 2 2 2" xfId="8421"/>
    <cellStyle name="メモ 14 2 2 3" xfId="7454"/>
    <cellStyle name="メモ 14 2 3" xfId="3211"/>
    <cellStyle name="メモ 14 2 3 2" xfId="5484"/>
    <cellStyle name="メモ 14 2 3 2 2" xfId="8276"/>
    <cellStyle name="メモ 14 2 3 3" xfId="7309"/>
    <cellStyle name="メモ 14 2 4" xfId="3666"/>
    <cellStyle name="メモ 14 2 4 2" xfId="5939"/>
    <cellStyle name="メモ 14 2 4 2 2" xfId="8559"/>
    <cellStyle name="メモ 14 2 4 3" xfId="7592"/>
    <cellStyle name="メモ 14 2 5" xfId="3800"/>
    <cellStyle name="メモ 14 2 5 2" xfId="6073"/>
    <cellStyle name="メモ 14 2 5 2 2" xfId="8691"/>
    <cellStyle name="メモ 14 2 5 3" xfId="7724"/>
    <cellStyle name="メモ 14 2 6" xfId="3926"/>
    <cellStyle name="メモ 14 2 6 2" xfId="6199"/>
    <cellStyle name="メモ 14 2 6 2 2" xfId="8817"/>
    <cellStyle name="メモ 14 2 6 3" xfId="7850"/>
    <cellStyle name="メモ 14 2 7" xfId="4621"/>
    <cellStyle name="メモ 14 2 7 2" xfId="8016"/>
    <cellStyle name="メモ 14 2 8" xfId="7049"/>
    <cellStyle name="メモ 14 3" xfId="3111"/>
    <cellStyle name="メモ 14 3 2" xfId="5384"/>
    <cellStyle name="メモ 14 3 2 2" xfId="8176"/>
    <cellStyle name="メモ 14 3 3" xfId="7209"/>
    <cellStyle name="メモ 14 4" xfId="2247"/>
    <cellStyle name="メモ 14 4 2" xfId="6912"/>
    <cellStyle name="メモ 14 5" xfId="2019"/>
    <cellStyle name="メモ 15" xfId="788"/>
    <cellStyle name="メモ 15 10" xfId="4211"/>
    <cellStyle name="メモ 15 10 2" xfId="6484"/>
    <cellStyle name="メモ 15 10 2 2" xfId="11288"/>
    <cellStyle name="メモ 15 10 3" xfId="9979"/>
    <cellStyle name="メモ 15 11" xfId="4303"/>
    <cellStyle name="メモ 15 11 2" xfId="6576"/>
    <cellStyle name="メモ 15 11 2 2" xfId="11377"/>
    <cellStyle name="メモ 15 11 3" xfId="10068"/>
    <cellStyle name="メモ 15 12" xfId="4393"/>
    <cellStyle name="メモ 15 12 2" xfId="6666"/>
    <cellStyle name="メモ 15 12 2 2" xfId="11466"/>
    <cellStyle name="メモ 15 12 3" xfId="10157"/>
    <cellStyle name="メモ 15 13" xfId="4489"/>
    <cellStyle name="メモ 15 13 2" xfId="10246"/>
    <cellStyle name="メモ 15 14" xfId="6766"/>
    <cellStyle name="メモ 15 15" xfId="2110"/>
    <cellStyle name="メモ 15 15 2" xfId="11576"/>
    <cellStyle name="メモ 15 16" xfId="8937"/>
    <cellStyle name="メモ 15 2" xfId="2434"/>
    <cellStyle name="メモ 15 2 2" xfId="2967"/>
    <cellStyle name="メモ 15 2 2 2" xfId="5240"/>
    <cellStyle name="メモ 15 2 2 2 2" xfId="10852"/>
    <cellStyle name="メモ 15 2 2 3" xfId="9543"/>
    <cellStyle name="メモ 15 2 3" xfId="3536"/>
    <cellStyle name="メモ 15 2 3 2" xfId="5809"/>
    <cellStyle name="メモ 15 2 3 2 2" xfId="11026"/>
    <cellStyle name="メモ 15 2 3 3" xfId="9717"/>
    <cellStyle name="メモ 15 2 4" xfId="4102"/>
    <cellStyle name="メモ 15 2 4 2" xfId="6375"/>
    <cellStyle name="メモ 15 2 4 2 2" xfId="11200"/>
    <cellStyle name="メモ 15 2 4 3" xfId="9891"/>
    <cellStyle name="メモ 15 2 5" xfId="4716"/>
    <cellStyle name="メモ 15 2 5 2" xfId="10335"/>
    <cellStyle name="メモ 15 2 6" xfId="9026"/>
    <cellStyle name="メモ 15 3" xfId="2515"/>
    <cellStyle name="メモ 15 3 2" xfId="4793"/>
    <cellStyle name="メモ 15 3 2 2" xfId="10410"/>
    <cellStyle name="メモ 15 3 3" xfId="9101"/>
    <cellStyle name="メモ 15 4" xfId="2605"/>
    <cellStyle name="メモ 15 4 2" xfId="4883"/>
    <cellStyle name="メモ 15 4 2 2" xfId="10499"/>
    <cellStyle name="メモ 15 4 3" xfId="9190"/>
    <cellStyle name="メモ 15 5" xfId="2695"/>
    <cellStyle name="メモ 15 5 2" xfId="4973"/>
    <cellStyle name="メモ 15 5 2 2" xfId="10588"/>
    <cellStyle name="メモ 15 5 3" xfId="9279"/>
    <cellStyle name="メモ 15 6" xfId="2790"/>
    <cellStyle name="メモ 15 6 2" xfId="5063"/>
    <cellStyle name="メモ 15 6 2 2" xfId="10677"/>
    <cellStyle name="メモ 15 6 3" xfId="9368"/>
    <cellStyle name="メモ 15 7" xfId="2875"/>
    <cellStyle name="メモ 15 7 2" xfId="5148"/>
    <cellStyle name="メモ 15 7 2 2" xfId="10762"/>
    <cellStyle name="メモ 15 7 3" xfId="9453"/>
    <cellStyle name="メモ 15 8" xfId="3051"/>
    <cellStyle name="メモ 15 8 2" xfId="5324"/>
    <cellStyle name="メモ 15 8 2 2" xfId="10936"/>
    <cellStyle name="メモ 15 8 3" xfId="9627"/>
    <cellStyle name="メモ 15 9" xfId="3758"/>
    <cellStyle name="メモ 15 9 2" xfId="6031"/>
    <cellStyle name="メモ 15 9 2 2" xfId="11110"/>
    <cellStyle name="メモ 15 9 3" xfId="9801"/>
    <cellStyle name="メモ 16" xfId="789"/>
    <cellStyle name="メモ 16 10" xfId="4219"/>
    <cellStyle name="メモ 16 10 2" xfId="6492"/>
    <cellStyle name="メモ 16 10 2 2" xfId="11296"/>
    <cellStyle name="メモ 16 10 3" xfId="9987"/>
    <cellStyle name="メモ 16 11" xfId="4311"/>
    <cellStyle name="メモ 16 11 2" xfId="6584"/>
    <cellStyle name="メモ 16 11 2 2" xfId="11385"/>
    <cellStyle name="メモ 16 11 3" xfId="10076"/>
    <cellStyle name="メモ 16 12" xfId="4401"/>
    <cellStyle name="メモ 16 12 2" xfId="6674"/>
    <cellStyle name="メモ 16 12 2 2" xfId="11474"/>
    <cellStyle name="メモ 16 12 3" xfId="10165"/>
    <cellStyle name="メモ 16 13" xfId="4497"/>
    <cellStyle name="メモ 16 13 2" xfId="10254"/>
    <cellStyle name="メモ 16 14" xfId="2122"/>
    <cellStyle name="メモ 16 14 2" xfId="11580"/>
    <cellStyle name="メモ 16 15" xfId="8945"/>
    <cellStyle name="メモ 16 2" xfId="2440"/>
    <cellStyle name="メモ 16 2 2" xfId="2975"/>
    <cellStyle name="メモ 16 2 2 2" xfId="5248"/>
    <cellStyle name="メモ 16 2 2 2 2" xfId="10860"/>
    <cellStyle name="メモ 16 2 2 3" xfId="9551"/>
    <cellStyle name="メモ 16 2 3" xfId="3546"/>
    <cellStyle name="メモ 16 2 3 2" xfId="5819"/>
    <cellStyle name="メモ 16 2 3 2 2" xfId="11034"/>
    <cellStyle name="メモ 16 2 3 3" xfId="9725"/>
    <cellStyle name="メモ 16 2 4" xfId="4110"/>
    <cellStyle name="メモ 16 2 4 2" xfId="6383"/>
    <cellStyle name="メモ 16 2 4 2 2" xfId="11208"/>
    <cellStyle name="メモ 16 2 4 3" xfId="9899"/>
    <cellStyle name="メモ 16 2 5" xfId="4720"/>
    <cellStyle name="メモ 16 2 5 2" xfId="10339"/>
    <cellStyle name="メモ 16 2 6" xfId="9030"/>
    <cellStyle name="メモ 16 3" xfId="2523"/>
    <cellStyle name="メモ 16 3 2" xfId="4801"/>
    <cellStyle name="メモ 16 3 2 2" xfId="10418"/>
    <cellStyle name="メモ 16 3 3" xfId="9109"/>
    <cellStyle name="メモ 16 4" xfId="2613"/>
    <cellStyle name="メモ 16 4 2" xfId="4891"/>
    <cellStyle name="メモ 16 4 2 2" xfId="10507"/>
    <cellStyle name="メモ 16 4 3" xfId="9198"/>
    <cellStyle name="メモ 16 5" xfId="2703"/>
    <cellStyle name="メモ 16 5 2" xfId="4981"/>
    <cellStyle name="メモ 16 5 2 2" xfId="10596"/>
    <cellStyle name="メモ 16 5 3" xfId="9287"/>
    <cellStyle name="メモ 16 6" xfId="2798"/>
    <cellStyle name="メモ 16 6 2" xfId="5071"/>
    <cellStyle name="メモ 16 6 2 2" xfId="10685"/>
    <cellStyle name="メモ 16 6 3" xfId="9376"/>
    <cellStyle name="メモ 16 7" xfId="2883"/>
    <cellStyle name="メモ 16 7 2" xfId="5156"/>
    <cellStyle name="メモ 16 7 2 2" xfId="10768"/>
    <cellStyle name="メモ 16 7 3" xfId="9459"/>
    <cellStyle name="メモ 16 8" xfId="3237"/>
    <cellStyle name="メモ 16 8 2" xfId="5510"/>
    <cellStyle name="メモ 16 8 2 2" xfId="10942"/>
    <cellStyle name="メモ 16 8 3" xfId="9633"/>
    <cellStyle name="メモ 16 9" xfId="3978"/>
    <cellStyle name="メモ 16 9 2" xfId="6251"/>
    <cellStyle name="メモ 16 9 2 2" xfId="11116"/>
    <cellStyle name="メモ 16 9 3" xfId="9807"/>
    <cellStyle name="メモ 17" xfId="7"/>
    <cellStyle name="メモ 17 10" xfId="4231"/>
    <cellStyle name="メモ 17 10 2" xfId="6504"/>
    <cellStyle name="メモ 17 10 2 2" xfId="11308"/>
    <cellStyle name="メモ 17 10 3" xfId="9999"/>
    <cellStyle name="メモ 17 11" xfId="4323"/>
    <cellStyle name="メモ 17 11 2" xfId="6596"/>
    <cellStyle name="メモ 17 11 2 2" xfId="11397"/>
    <cellStyle name="メモ 17 11 3" xfId="10088"/>
    <cellStyle name="メモ 17 12" xfId="4413"/>
    <cellStyle name="メモ 17 12 2" xfId="6686"/>
    <cellStyle name="メモ 17 12 2 2" xfId="11486"/>
    <cellStyle name="メモ 17 12 3" xfId="10177"/>
    <cellStyle name="メモ 17 13" xfId="4509"/>
    <cellStyle name="メモ 17 13 2" xfId="10266"/>
    <cellStyle name="メモ 17 14" xfId="2135"/>
    <cellStyle name="メモ 17 14 2" xfId="11583"/>
    <cellStyle name="メモ 17 15" xfId="8957"/>
    <cellStyle name="メモ 17 2" xfId="2443"/>
    <cellStyle name="メモ 17 2 2" xfId="2987"/>
    <cellStyle name="メモ 17 2 2 2" xfId="5260"/>
    <cellStyle name="メモ 17 2 2 2 2" xfId="10872"/>
    <cellStyle name="メモ 17 2 2 3" xfId="9563"/>
    <cellStyle name="メモ 17 2 3" xfId="3558"/>
    <cellStyle name="メモ 17 2 3 2" xfId="5831"/>
    <cellStyle name="メモ 17 2 3 2 2" xfId="11046"/>
    <cellStyle name="メモ 17 2 3 3" xfId="9737"/>
    <cellStyle name="メモ 17 2 4" xfId="4122"/>
    <cellStyle name="メモ 17 2 4 2" xfId="6395"/>
    <cellStyle name="メモ 17 2 4 2 2" xfId="11220"/>
    <cellStyle name="メモ 17 2 4 3" xfId="9911"/>
    <cellStyle name="メモ 17 2 5" xfId="4723"/>
    <cellStyle name="メモ 17 2 5 2" xfId="10342"/>
    <cellStyle name="メモ 17 2 6" xfId="9033"/>
    <cellStyle name="メモ 17 3" xfId="2535"/>
    <cellStyle name="メモ 17 3 2" xfId="4813"/>
    <cellStyle name="メモ 17 3 2 2" xfId="10430"/>
    <cellStyle name="メモ 17 3 3" xfId="9121"/>
    <cellStyle name="メモ 17 4" xfId="2625"/>
    <cellStyle name="メモ 17 4 2" xfId="4903"/>
    <cellStyle name="メモ 17 4 2 2" xfId="10519"/>
    <cellStyle name="メモ 17 4 3" xfId="9210"/>
    <cellStyle name="メモ 17 5" xfId="2715"/>
    <cellStyle name="メモ 17 5 2" xfId="4993"/>
    <cellStyle name="メモ 17 5 2 2" xfId="10608"/>
    <cellStyle name="メモ 17 5 3" xfId="9299"/>
    <cellStyle name="メモ 17 6" xfId="2810"/>
    <cellStyle name="メモ 17 6 2" xfId="5083"/>
    <cellStyle name="メモ 17 6 2 2" xfId="10697"/>
    <cellStyle name="メモ 17 6 3" xfId="9388"/>
    <cellStyle name="メモ 17 7" xfId="2897"/>
    <cellStyle name="メモ 17 7 2" xfId="5170"/>
    <cellStyle name="メモ 17 7 2 2" xfId="10782"/>
    <cellStyle name="メモ 17 7 3" xfId="9473"/>
    <cellStyle name="メモ 17 8" xfId="3251"/>
    <cellStyle name="メモ 17 8 2" xfId="5524"/>
    <cellStyle name="メモ 17 8 2 2" xfId="10956"/>
    <cellStyle name="メモ 17 8 3" xfId="9647"/>
    <cellStyle name="メモ 17 9" xfId="3992"/>
    <cellStyle name="メモ 17 9 2" xfId="6265"/>
    <cellStyle name="メモ 17 9 2 2" xfId="11130"/>
    <cellStyle name="メモ 17 9 3" xfId="9821"/>
    <cellStyle name="メモ 18" xfId="790"/>
    <cellStyle name="メモ 18 10" xfId="4237"/>
    <cellStyle name="メモ 18 10 2" xfId="6510"/>
    <cellStyle name="メモ 18 10 2 2" xfId="11314"/>
    <cellStyle name="メモ 18 10 3" xfId="10005"/>
    <cellStyle name="メモ 18 11" xfId="4329"/>
    <cellStyle name="メモ 18 11 2" xfId="6602"/>
    <cellStyle name="メモ 18 11 2 2" xfId="11403"/>
    <cellStyle name="メモ 18 11 3" xfId="10094"/>
    <cellStyle name="メモ 18 12" xfId="4419"/>
    <cellStyle name="メモ 18 12 2" xfId="6692"/>
    <cellStyle name="メモ 18 12 2 2" xfId="11492"/>
    <cellStyle name="メモ 18 12 3" xfId="10183"/>
    <cellStyle name="メモ 18 13" xfId="4515"/>
    <cellStyle name="メモ 18 13 2" xfId="10272"/>
    <cellStyle name="メモ 18 14" xfId="2141"/>
    <cellStyle name="メモ 18 14 2" xfId="11587"/>
    <cellStyle name="メモ 18 15" xfId="8963"/>
    <cellStyle name="メモ 18 2" xfId="2447"/>
    <cellStyle name="メモ 18 2 2" xfId="2993"/>
    <cellStyle name="メモ 18 2 2 2" xfId="5266"/>
    <cellStyle name="メモ 18 2 2 2 2" xfId="10878"/>
    <cellStyle name="メモ 18 2 2 3" xfId="9569"/>
    <cellStyle name="メモ 18 2 3" xfId="3564"/>
    <cellStyle name="メモ 18 2 3 2" xfId="5837"/>
    <cellStyle name="メモ 18 2 3 2 2" xfId="11052"/>
    <cellStyle name="メモ 18 2 3 3" xfId="9743"/>
    <cellStyle name="メモ 18 2 4" xfId="4128"/>
    <cellStyle name="メモ 18 2 4 2" xfId="6401"/>
    <cellStyle name="メモ 18 2 4 2 2" xfId="11226"/>
    <cellStyle name="メモ 18 2 4 3" xfId="9917"/>
    <cellStyle name="メモ 18 2 5" xfId="4727"/>
    <cellStyle name="メモ 18 2 5 2" xfId="10346"/>
    <cellStyle name="メモ 18 2 6" xfId="9037"/>
    <cellStyle name="メモ 18 3" xfId="2541"/>
    <cellStyle name="メモ 18 3 2" xfId="4819"/>
    <cellStyle name="メモ 18 3 2 2" xfId="10436"/>
    <cellStyle name="メモ 18 3 3" xfId="9127"/>
    <cellStyle name="メモ 18 4" xfId="2631"/>
    <cellStyle name="メモ 18 4 2" xfId="4909"/>
    <cellStyle name="メモ 18 4 2 2" xfId="10525"/>
    <cellStyle name="メモ 18 4 3" xfId="9216"/>
    <cellStyle name="メモ 18 5" xfId="2721"/>
    <cellStyle name="メモ 18 5 2" xfId="4999"/>
    <cellStyle name="メモ 18 5 2 2" xfId="10614"/>
    <cellStyle name="メモ 18 5 3" xfId="9305"/>
    <cellStyle name="メモ 18 6" xfId="2816"/>
    <cellStyle name="メモ 18 6 2" xfId="5089"/>
    <cellStyle name="メモ 18 6 2 2" xfId="10703"/>
    <cellStyle name="メモ 18 6 3" xfId="9394"/>
    <cellStyle name="メモ 18 7" xfId="2905"/>
    <cellStyle name="メモ 18 7 2" xfId="5178"/>
    <cellStyle name="メモ 18 7 2 2" xfId="10790"/>
    <cellStyle name="メモ 18 7 3" xfId="9481"/>
    <cellStyle name="メモ 18 8" xfId="3259"/>
    <cellStyle name="メモ 18 8 2" xfId="5532"/>
    <cellStyle name="メモ 18 8 2 2" xfId="10964"/>
    <cellStyle name="メモ 18 8 3" xfId="9655"/>
    <cellStyle name="メモ 18 9" xfId="4000"/>
    <cellStyle name="メモ 18 9 2" xfId="6273"/>
    <cellStyle name="メモ 18 9 2 2" xfId="11138"/>
    <cellStyle name="メモ 18 9 3" xfId="9829"/>
    <cellStyle name="メモ 19" xfId="791"/>
    <cellStyle name="メモ 19 10" xfId="4250"/>
    <cellStyle name="メモ 19 10 2" xfId="6523"/>
    <cellStyle name="メモ 19 10 2 2" xfId="11327"/>
    <cellStyle name="メモ 19 10 3" xfId="10018"/>
    <cellStyle name="メモ 19 11" xfId="4342"/>
    <cellStyle name="メモ 19 11 2" xfId="6615"/>
    <cellStyle name="メモ 19 11 2 2" xfId="11416"/>
    <cellStyle name="メモ 19 11 3" xfId="10107"/>
    <cellStyle name="メモ 19 12" xfId="4432"/>
    <cellStyle name="メモ 19 12 2" xfId="6705"/>
    <cellStyle name="メモ 19 12 2 2" xfId="11505"/>
    <cellStyle name="メモ 19 12 3" xfId="10196"/>
    <cellStyle name="メモ 19 13" xfId="4528"/>
    <cellStyle name="メモ 19 13 2" xfId="10285"/>
    <cellStyle name="メモ 19 14" xfId="2154"/>
    <cellStyle name="メモ 19 14 2" xfId="11600"/>
    <cellStyle name="メモ 19 15" xfId="8976"/>
    <cellStyle name="メモ 19 2" xfId="2460"/>
    <cellStyle name="メモ 19 2 2" xfId="3006"/>
    <cellStyle name="メモ 19 2 2 2" xfId="5279"/>
    <cellStyle name="メモ 19 2 2 2 2" xfId="10891"/>
    <cellStyle name="メモ 19 2 2 3" xfId="9582"/>
    <cellStyle name="メモ 19 2 3" xfId="3577"/>
    <cellStyle name="メモ 19 2 3 2" xfId="5850"/>
    <cellStyle name="メモ 19 2 3 2 2" xfId="11065"/>
    <cellStyle name="メモ 19 2 3 3" xfId="9756"/>
    <cellStyle name="メモ 19 2 4" xfId="4141"/>
    <cellStyle name="メモ 19 2 4 2" xfId="6414"/>
    <cellStyle name="メモ 19 2 4 2 2" xfId="11239"/>
    <cellStyle name="メモ 19 2 4 3" xfId="9930"/>
    <cellStyle name="メモ 19 2 5" xfId="4740"/>
    <cellStyle name="メモ 19 2 5 2" xfId="10359"/>
    <cellStyle name="メモ 19 2 6" xfId="9050"/>
    <cellStyle name="メモ 19 3" xfId="2554"/>
    <cellStyle name="メモ 19 3 2" xfId="4832"/>
    <cellStyle name="メモ 19 3 2 2" xfId="10449"/>
    <cellStyle name="メモ 19 3 3" xfId="9140"/>
    <cellStyle name="メモ 19 4" xfId="2644"/>
    <cellStyle name="メモ 19 4 2" xfId="4922"/>
    <cellStyle name="メモ 19 4 2 2" xfId="10538"/>
    <cellStyle name="メモ 19 4 3" xfId="9229"/>
    <cellStyle name="メモ 19 5" xfId="2739"/>
    <cellStyle name="メモ 19 5 2" xfId="5012"/>
    <cellStyle name="メモ 19 5 2 2" xfId="10627"/>
    <cellStyle name="メモ 19 5 3" xfId="9318"/>
    <cellStyle name="メモ 19 6" xfId="2829"/>
    <cellStyle name="メモ 19 6 2" xfId="5102"/>
    <cellStyle name="メモ 19 6 2 2" xfId="10716"/>
    <cellStyle name="メモ 19 6 3" xfId="9407"/>
    <cellStyle name="メモ 19 7" xfId="2918"/>
    <cellStyle name="メモ 19 7 2" xfId="5191"/>
    <cellStyle name="メモ 19 7 2 2" xfId="10803"/>
    <cellStyle name="メモ 19 7 3" xfId="9494"/>
    <cellStyle name="メモ 19 8" xfId="3347"/>
    <cellStyle name="メモ 19 8 2" xfId="5620"/>
    <cellStyle name="メモ 19 8 2 2" xfId="10977"/>
    <cellStyle name="メモ 19 8 3" xfId="9668"/>
    <cellStyle name="メモ 19 9" xfId="4048"/>
    <cellStyle name="メモ 19 9 2" xfId="6321"/>
    <cellStyle name="メモ 19 9 2 2" xfId="11151"/>
    <cellStyle name="メモ 19 9 3" xfId="9842"/>
    <cellStyle name="メモ 2" xfId="792"/>
    <cellStyle name="メモ 2 10" xfId="793"/>
    <cellStyle name="メモ 2 10 2" xfId="794"/>
    <cellStyle name="メモ 2 10 2 2" xfId="3447"/>
    <cellStyle name="メモ 2 10 2 2 2" xfId="5720"/>
    <cellStyle name="メモ 2 10 2 2 2 2" xfId="8426"/>
    <cellStyle name="メモ 2 10 2 2 3" xfId="7459"/>
    <cellStyle name="メモ 2 10 2 3" xfId="3273"/>
    <cellStyle name="メモ 2 10 2 3 2" xfId="5546"/>
    <cellStyle name="メモ 2 10 2 3 2 2" xfId="8301"/>
    <cellStyle name="メモ 2 10 2 3 3" xfId="7334"/>
    <cellStyle name="メモ 2 10 2 4" xfId="3671"/>
    <cellStyle name="メモ 2 10 2 4 2" xfId="5944"/>
    <cellStyle name="メモ 2 10 2 4 2 2" xfId="8564"/>
    <cellStyle name="メモ 2 10 2 4 3" xfId="7597"/>
    <cellStyle name="メモ 2 10 2 5" xfId="3877"/>
    <cellStyle name="メモ 2 10 2 5 2" xfId="6150"/>
    <cellStyle name="メモ 2 10 2 5 2 2" xfId="8768"/>
    <cellStyle name="メモ 2 10 2 5 3" xfId="7801"/>
    <cellStyle name="メモ 2 10 2 6" xfId="3779"/>
    <cellStyle name="メモ 2 10 2 6 2" xfId="6052"/>
    <cellStyle name="メモ 2 10 2 6 2 2" xfId="8670"/>
    <cellStyle name="メモ 2 10 2 6 3" xfId="7703"/>
    <cellStyle name="メモ 2 10 2 7" xfId="4626"/>
    <cellStyle name="メモ 2 10 2 7 2" xfId="8021"/>
    <cellStyle name="メモ 2 10 2 8" xfId="7054"/>
    <cellStyle name="メモ 2 10 3" xfId="3114"/>
    <cellStyle name="メモ 2 10 3 2" xfId="5387"/>
    <cellStyle name="メモ 2 10 3 2 2" xfId="8179"/>
    <cellStyle name="メモ 2 10 3 3" xfId="7212"/>
    <cellStyle name="メモ 2 10 4" xfId="2252"/>
    <cellStyle name="メモ 2 10 4 2" xfId="6917"/>
    <cellStyle name="メモ 2 10 5" xfId="2024"/>
    <cellStyle name="メモ 2 11" xfId="795"/>
    <cellStyle name="メモ 2 11 2" xfId="796"/>
    <cellStyle name="メモ 2 11 2 2" xfId="3448"/>
    <cellStyle name="メモ 2 11 2 2 2" xfId="5721"/>
    <cellStyle name="メモ 2 11 2 2 2 2" xfId="8427"/>
    <cellStyle name="メモ 2 11 2 2 3" xfId="7460"/>
    <cellStyle name="メモ 2 11 2 3" xfId="3274"/>
    <cellStyle name="メモ 2 11 2 3 2" xfId="5547"/>
    <cellStyle name="メモ 2 11 2 3 2 2" xfId="8302"/>
    <cellStyle name="メモ 2 11 2 3 3" xfId="7335"/>
    <cellStyle name="メモ 2 11 2 4" xfId="3672"/>
    <cellStyle name="メモ 2 11 2 4 2" xfId="5945"/>
    <cellStyle name="メモ 2 11 2 4 2 2" xfId="8565"/>
    <cellStyle name="メモ 2 11 2 4 3" xfId="7598"/>
    <cellStyle name="メモ 2 11 2 5" xfId="3788"/>
    <cellStyle name="メモ 2 11 2 5 2" xfId="6061"/>
    <cellStyle name="メモ 2 11 2 5 2 2" xfId="8679"/>
    <cellStyle name="メモ 2 11 2 5 3" xfId="7712"/>
    <cellStyle name="メモ 2 11 2 6" xfId="4188"/>
    <cellStyle name="メモ 2 11 2 6 2" xfId="6461"/>
    <cellStyle name="メモ 2 11 2 6 2 2" xfId="8907"/>
    <cellStyle name="メモ 2 11 2 6 3" xfId="7940"/>
    <cellStyle name="メモ 2 11 2 7" xfId="4627"/>
    <cellStyle name="メモ 2 11 2 7 2" xfId="8022"/>
    <cellStyle name="メモ 2 11 2 8" xfId="7055"/>
    <cellStyle name="メモ 2 11 3" xfId="3378"/>
    <cellStyle name="メモ 2 11 3 2" xfId="5651"/>
    <cellStyle name="メモ 2 11 3 2 2" xfId="8373"/>
    <cellStyle name="メモ 2 11 3 3" xfId="7406"/>
    <cellStyle name="メモ 2 11 4" xfId="2253"/>
    <cellStyle name="メモ 2 11 4 2" xfId="6918"/>
    <cellStyle name="メモ 2 11 5" xfId="2025"/>
    <cellStyle name="メモ 2 12" xfId="797"/>
    <cellStyle name="メモ 2 12 2" xfId="798"/>
    <cellStyle name="メモ 2 12 2 2" xfId="799"/>
    <cellStyle name="メモ 2 12 2 2 2" xfId="3450"/>
    <cellStyle name="メモ 2 12 2 2 2 2" xfId="5723"/>
    <cellStyle name="メモ 2 12 2 2 2 2 2" xfId="8429"/>
    <cellStyle name="メモ 2 12 2 2 2 3" xfId="7462"/>
    <cellStyle name="メモ 2 12 2 2 3" xfId="3275"/>
    <cellStyle name="メモ 2 12 2 2 3 2" xfId="5548"/>
    <cellStyle name="メモ 2 12 2 2 3 2 2" xfId="8303"/>
    <cellStyle name="メモ 2 12 2 2 3 3" xfId="7336"/>
    <cellStyle name="メモ 2 12 2 2 4" xfId="3674"/>
    <cellStyle name="メモ 2 12 2 2 4 2" xfId="5947"/>
    <cellStyle name="メモ 2 12 2 2 4 2 2" xfId="8567"/>
    <cellStyle name="メモ 2 12 2 2 4 3" xfId="7600"/>
    <cellStyle name="メモ 2 12 2 2 5" xfId="3854"/>
    <cellStyle name="メモ 2 12 2 2 5 2" xfId="6127"/>
    <cellStyle name="メモ 2 12 2 2 5 2 2" xfId="8745"/>
    <cellStyle name="メモ 2 12 2 2 5 3" xfId="7778"/>
    <cellStyle name="メモ 2 12 2 2 6" xfId="3805"/>
    <cellStyle name="メモ 2 12 2 2 6 2" xfId="6078"/>
    <cellStyle name="メモ 2 12 2 2 6 2 2" xfId="8696"/>
    <cellStyle name="メモ 2 12 2 2 6 3" xfId="7729"/>
    <cellStyle name="メモ 2 12 2 2 7" xfId="4629"/>
    <cellStyle name="メモ 2 12 2 2 7 2" xfId="8024"/>
    <cellStyle name="メモ 2 12 2 2 8" xfId="7057"/>
    <cellStyle name="メモ 2 12 2 3" xfId="3115"/>
    <cellStyle name="メモ 2 12 2 3 2" xfId="5388"/>
    <cellStyle name="メモ 2 12 2 3 2 2" xfId="8180"/>
    <cellStyle name="メモ 2 12 2 3 3" xfId="7213"/>
    <cellStyle name="メモ 2 12 2 4" xfId="2255"/>
    <cellStyle name="メモ 2 12 2 4 2" xfId="6920"/>
    <cellStyle name="メモ 2 12 2 5" xfId="2027"/>
    <cellStyle name="メモ 2 12 3" xfId="800"/>
    <cellStyle name="メモ 2 12 3 2" xfId="3449"/>
    <cellStyle name="メモ 2 12 3 2 2" xfId="5722"/>
    <cellStyle name="メモ 2 12 3 2 2 2" xfId="8428"/>
    <cellStyle name="メモ 2 12 3 2 3" xfId="7461"/>
    <cellStyle name="メモ 2 12 3 3" xfId="3216"/>
    <cellStyle name="メモ 2 12 3 3 2" xfId="5489"/>
    <cellStyle name="メモ 2 12 3 3 2 2" xfId="8281"/>
    <cellStyle name="メモ 2 12 3 3 3" xfId="7314"/>
    <cellStyle name="メモ 2 12 3 4" xfId="3673"/>
    <cellStyle name="メモ 2 12 3 4 2" xfId="5946"/>
    <cellStyle name="メモ 2 12 3 4 2 2" xfId="8566"/>
    <cellStyle name="メモ 2 12 3 4 3" xfId="7599"/>
    <cellStyle name="メモ 2 12 3 5" xfId="4024"/>
    <cellStyle name="メモ 2 12 3 5 2" xfId="6297"/>
    <cellStyle name="メモ 2 12 3 5 2 2" xfId="8885"/>
    <cellStyle name="メモ 2 12 3 5 3" xfId="7918"/>
    <cellStyle name="メモ 2 12 3 6" xfId="3819"/>
    <cellStyle name="メモ 2 12 3 6 2" xfId="6092"/>
    <cellStyle name="メモ 2 12 3 6 2 2" xfId="8710"/>
    <cellStyle name="メモ 2 12 3 6 3" xfId="7743"/>
    <cellStyle name="メモ 2 12 3 7" xfId="4628"/>
    <cellStyle name="メモ 2 12 3 7 2" xfId="8023"/>
    <cellStyle name="メモ 2 12 3 8" xfId="7056"/>
    <cellStyle name="メモ 2 12 4" xfId="3607"/>
    <cellStyle name="メモ 2 12 4 2" xfId="5880"/>
    <cellStyle name="メモ 2 12 4 2 2" xfId="8514"/>
    <cellStyle name="メモ 2 12 4 3" xfId="7547"/>
    <cellStyle name="メモ 2 12 5" xfId="2254"/>
    <cellStyle name="メモ 2 12 5 2" xfId="6919"/>
    <cellStyle name="メモ 2 12 6" xfId="2026"/>
    <cellStyle name="メモ 2 13" xfId="801"/>
    <cellStyle name="メモ 2 13 2" xfId="802"/>
    <cellStyle name="メモ 2 13 2 2" xfId="3451"/>
    <cellStyle name="メモ 2 13 2 2 2" xfId="5724"/>
    <cellStyle name="メモ 2 13 2 2 2 2" xfId="8430"/>
    <cellStyle name="メモ 2 13 2 2 3" xfId="7463"/>
    <cellStyle name="メモ 2 13 2 3" xfId="3276"/>
    <cellStyle name="メモ 2 13 2 3 2" xfId="5549"/>
    <cellStyle name="メモ 2 13 2 3 2 2" xfId="8304"/>
    <cellStyle name="メモ 2 13 2 3 3" xfId="7337"/>
    <cellStyle name="メモ 2 13 2 4" xfId="3675"/>
    <cellStyle name="メモ 2 13 2 4 2" xfId="5948"/>
    <cellStyle name="メモ 2 13 2 4 2 2" xfId="8568"/>
    <cellStyle name="メモ 2 13 2 4 3" xfId="7601"/>
    <cellStyle name="メモ 2 13 2 5" xfId="3789"/>
    <cellStyle name="メモ 2 13 2 5 2" xfId="6062"/>
    <cellStyle name="メモ 2 13 2 5 2 2" xfId="8680"/>
    <cellStyle name="メモ 2 13 2 5 3" xfId="7713"/>
    <cellStyle name="メモ 2 13 2 6" xfId="4189"/>
    <cellStyle name="メモ 2 13 2 6 2" xfId="6462"/>
    <cellStyle name="メモ 2 13 2 6 2 2" xfId="8908"/>
    <cellStyle name="メモ 2 13 2 6 3" xfId="7941"/>
    <cellStyle name="メモ 2 13 2 7" xfId="4630"/>
    <cellStyle name="メモ 2 13 2 7 2" xfId="8025"/>
    <cellStyle name="メモ 2 13 2 8" xfId="7058"/>
    <cellStyle name="メモ 2 13 3" xfId="3052"/>
    <cellStyle name="メモ 2 13 3 2" xfId="5325"/>
    <cellStyle name="メモ 2 13 3 2 2" xfId="8117"/>
    <cellStyle name="メモ 2 13 3 3" xfId="7150"/>
    <cellStyle name="メモ 2 13 4" xfId="2256"/>
    <cellStyle name="メモ 2 13 4 2" xfId="6921"/>
    <cellStyle name="メモ 2 13 5" xfId="2028"/>
    <cellStyle name="メモ 2 14" xfId="803"/>
    <cellStyle name="メモ 2 14 2" xfId="3446"/>
    <cellStyle name="メモ 2 14 2 2" xfId="5719"/>
    <cellStyle name="メモ 2 14 2 2 2" xfId="8425"/>
    <cellStyle name="メモ 2 14 2 3" xfId="7458"/>
    <cellStyle name="メモ 2 14 3" xfId="3215"/>
    <cellStyle name="メモ 2 14 3 2" xfId="5488"/>
    <cellStyle name="メモ 2 14 3 2 2" xfId="8280"/>
    <cellStyle name="メモ 2 14 3 3" xfId="7313"/>
    <cellStyle name="メモ 2 14 4" xfId="3670"/>
    <cellStyle name="メモ 2 14 4 2" xfId="5943"/>
    <cellStyle name="メモ 2 14 4 2 2" xfId="8563"/>
    <cellStyle name="メモ 2 14 4 3" xfId="7596"/>
    <cellStyle name="メモ 2 14 5" xfId="4020"/>
    <cellStyle name="メモ 2 14 5 2" xfId="6293"/>
    <cellStyle name="メモ 2 14 5 2 2" xfId="8881"/>
    <cellStyle name="メモ 2 14 5 3" xfId="7914"/>
    <cellStyle name="メモ 2 14 6" xfId="3781"/>
    <cellStyle name="メモ 2 14 6 2" xfId="6054"/>
    <cellStyle name="メモ 2 14 6 2 2" xfId="8672"/>
    <cellStyle name="メモ 2 14 6 3" xfId="7705"/>
    <cellStyle name="メモ 2 14 7" xfId="4625"/>
    <cellStyle name="メモ 2 14 7 2" xfId="8020"/>
    <cellStyle name="メモ 2 14 8" xfId="7053"/>
    <cellStyle name="メモ 2 15" xfId="3262"/>
    <cellStyle name="メモ 2 15 2" xfId="5535"/>
    <cellStyle name="メモ 2 15 2 2" xfId="8297"/>
    <cellStyle name="メモ 2 15 3" xfId="7330"/>
    <cellStyle name="メモ 2 16" xfId="2251"/>
    <cellStyle name="メモ 2 16 2" xfId="6916"/>
    <cellStyle name="メモ 2 17" xfId="2023"/>
    <cellStyle name="メモ 2 2" xfId="804"/>
    <cellStyle name="メモ 2 2 2" xfId="805"/>
    <cellStyle name="メモ 2 2 2 2" xfId="806"/>
    <cellStyle name="メモ 2 2 2 2 2" xfId="3453"/>
    <cellStyle name="メモ 2 2 2 2 2 2" xfId="5726"/>
    <cellStyle name="メモ 2 2 2 2 2 2 2" xfId="8432"/>
    <cellStyle name="メモ 2 2 2 2 2 3" xfId="7465"/>
    <cellStyle name="メモ 2 2 2 2 3" xfId="3278"/>
    <cellStyle name="メモ 2 2 2 2 3 2" xfId="5551"/>
    <cellStyle name="メモ 2 2 2 2 3 2 2" xfId="8306"/>
    <cellStyle name="メモ 2 2 2 2 3 3" xfId="7339"/>
    <cellStyle name="メモ 2 2 2 2 4" xfId="3677"/>
    <cellStyle name="メモ 2 2 2 2 4 2" xfId="5950"/>
    <cellStyle name="メモ 2 2 2 2 4 2 2" xfId="8570"/>
    <cellStyle name="メモ 2 2 2 2 4 3" xfId="7603"/>
    <cellStyle name="メモ 2 2 2 2 5" xfId="3790"/>
    <cellStyle name="メモ 2 2 2 2 5 2" xfId="6063"/>
    <cellStyle name="メモ 2 2 2 2 5 2 2" xfId="8681"/>
    <cellStyle name="メモ 2 2 2 2 5 3" xfId="7714"/>
    <cellStyle name="メモ 2 2 2 2 6" xfId="3820"/>
    <cellStyle name="メモ 2 2 2 2 6 2" xfId="6093"/>
    <cellStyle name="メモ 2 2 2 2 6 2 2" xfId="8711"/>
    <cellStyle name="メモ 2 2 2 2 6 3" xfId="7744"/>
    <cellStyle name="メモ 2 2 2 2 7" xfId="4632"/>
    <cellStyle name="メモ 2 2 2 2 7 2" xfId="8027"/>
    <cellStyle name="メモ 2 2 2 2 8" xfId="7060"/>
    <cellStyle name="メモ 2 2 2 3" xfId="3117"/>
    <cellStyle name="メモ 2 2 2 3 2" xfId="5390"/>
    <cellStyle name="メモ 2 2 2 3 2 2" xfId="8182"/>
    <cellStyle name="メモ 2 2 2 3 3" xfId="7215"/>
    <cellStyle name="メモ 2 2 2 4" xfId="2258"/>
    <cellStyle name="メモ 2 2 2 4 2" xfId="6923"/>
    <cellStyle name="メモ 2 2 2 5" xfId="2030"/>
    <cellStyle name="メモ 2 2 3" xfId="807"/>
    <cellStyle name="メモ 2 2 3 2" xfId="3452"/>
    <cellStyle name="メモ 2 2 3 2 2" xfId="5725"/>
    <cellStyle name="メモ 2 2 3 2 2 2" xfId="8431"/>
    <cellStyle name="メモ 2 2 3 2 3" xfId="7464"/>
    <cellStyle name="メモ 2 2 3 3" xfId="3277"/>
    <cellStyle name="メモ 2 2 3 3 2" xfId="5550"/>
    <cellStyle name="メモ 2 2 3 3 2 2" xfId="8305"/>
    <cellStyle name="メモ 2 2 3 3 3" xfId="7338"/>
    <cellStyle name="メモ 2 2 3 4" xfId="3676"/>
    <cellStyle name="メモ 2 2 3 4 2" xfId="5949"/>
    <cellStyle name="メモ 2 2 3 4 2 2" xfId="8569"/>
    <cellStyle name="メモ 2 2 3 4 3" xfId="7602"/>
    <cellStyle name="メモ 2 2 3 5" xfId="3875"/>
    <cellStyle name="メモ 2 2 3 5 2" xfId="6148"/>
    <cellStyle name="メモ 2 2 3 5 2 2" xfId="8766"/>
    <cellStyle name="メモ 2 2 3 5 3" xfId="7799"/>
    <cellStyle name="メモ 2 2 3 6" xfId="3806"/>
    <cellStyle name="メモ 2 2 3 6 2" xfId="6079"/>
    <cellStyle name="メモ 2 2 3 6 2 2" xfId="8697"/>
    <cellStyle name="メモ 2 2 3 6 3" xfId="7730"/>
    <cellStyle name="メモ 2 2 3 7" xfId="4631"/>
    <cellStyle name="メモ 2 2 3 7 2" xfId="8026"/>
    <cellStyle name="メモ 2 2 3 8" xfId="7059"/>
    <cellStyle name="メモ 2 2 4" xfId="3116"/>
    <cellStyle name="メモ 2 2 4 2" xfId="5389"/>
    <cellStyle name="メモ 2 2 4 2 2" xfId="8181"/>
    <cellStyle name="メモ 2 2 4 3" xfId="7214"/>
    <cellStyle name="メモ 2 2 5" xfId="2257"/>
    <cellStyle name="メモ 2 2 5 2" xfId="6922"/>
    <cellStyle name="メモ 2 2 6" xfId="2029"/>
    <cellStyle name="メモ 2 3" xfId="808"/>
    <cellStyle name="メモ 2 3 2" xfId="809"/>
    <cellStyle name="メモ 2 3 2 2" xfId="810"/>
    <cellStyle name="メモ 2 3 2 2 2" xfId="3455"/>
    <cellStyle name="メモ 2 3 2 2 2 2" xfId="5728"/>
    <cellStyle name="メモ 2 3 2 2 2 2 2" xfId="8434"/>
    <cellStyle name="メモ 2 3 2 2 2 3" xfId="7467"/>
    <cellStyle name="メモ 2 3 2 2 3" xfId="3288"/>
    <cellStyle name="メモ 2 3 2 2 3 2" xfId="5561"/>
    <cellStyle name="メモ 2 3 2 2 3 2 2" xfId="8316"/>
    <cellStyle name="メモ 2 3 2 2 3 3" xfId="7349"/>
    <cellStyle name="メモ 2 3 2 2 4" xfId="3679"/>
    <cellStyle name="メモ 2 3 2 2 4 2" xfId="5952"/>
    <cellStyle name="メモ 2 3 2 2 4 2 2" xfId="8572"/>
    <cellStyle name="メモ 2 3 2 2 4 3" xfId="7605"/>
    <cellStyle name="メモ 2 3 2 2 5" xfId="3794"/>
    <cellStyle name="メモ 2 3 2 2 5 2" xfId="6067"/>
    <cellStyle name="メモ 2 3 2 2 5 2 2" xfId="8685"/>
    <cellStyle name="メモ 2 3 2 2 5 3" xfId="7718"/>
    <cellStyle name="メモ 2 3 2 2 6" xfId="4187"/>
    <cellStyle name="メモ 2 3 2 2 6 2" xfId="6460"/>
    <cellStyle name="メモ 2 3 2 2 6 2 2" xfId="8906"/>
    <cellStyle name="メモ 2 3 2 2 6 3" xfId="7939"/>
    <cellStyle name="メモ 2 3 2 2 7" xfId="4634"/>
    <cellStyle name="メモ 2 3 2 2 7 2" xfId="8029"/>
    <cellStyle name="メモ 2 3 2 2 8" xfId="7062"/>
    <cellStyle name="メモ 2 3 2 3" xfId="3119"/>
    <cellStyle name="メモ 2 3 2 3 2" xfId="5392"/>
    <cellStyle name="メモ 2 3 2 3 2 2" xfId="8184"/>
    <cellStyle name="メモ 2 3 2 3 3" xfId="7217"/>
    <cellStyle name="メモ 2 3 2 4" xfId="2260"/>
    <cellStyle name="メモ 2 3 2 4 2" xfId="6925"/>
    <cellStyle name="メモ 2 3 2 5" xfId="2032"/>
    <cellStyle name="メモ 2 3 3" xfId="811"/>
    <cellStyle name="メモ 2 3 3 2" xfId="3454"/>
    <cellStyle name="メモ 2 3 3 2 2" xfId="5727"/>
    <cellStyle name="メモ 2 3 3 2 2 2" xfId="8433"/>
    <cellStyle name="メモ 2 3 3 2 3" xfId="7466"/>
    <cellStyle name="メモ 2 3 3 3" xfId="3279"/>
    <cellStyle name="メモ 2 3 3 3 2" xfId="5552"/>
    <cellStyle name="メモ 2 3 3 3 2 2" xfId="8307"/>
    <cellStyle name="メモ 2 3 3 3 3" xfId="7340"/>
    <cellStyle name="メモ 2 3 3 4" xfId="3678"/>
    <cellStyle name="メモ 2 3 3 4 2" xfId="5951"/>
    <cellStyle name="メモ 2 3 3 4 2 2" xfId="8571"/>
    <cellStyle name="メモ 2 3 3 4 3" xfId="7604"/>
    <cellStyle name="メモ 2 3 3 5" xfId="3876"/>
    <cellStyle name="メモ 2 3 3 5 2" xfId="6149"/>
    <cellStyle name="メモ 2 3 3 5 2 2" xfId="8767"/>
    <cellStyle name="メモ 2 3 3 5 3" xfId="7800"/>
    <cellStyle name="メモ 2 3 3 6" xfId="3808"/>
    <cellStyle name="メモ 2 3 3 6 2" xfId="6081"/>
    <cellStyle name="メモ 2 3 3 6 2 2" xfId="8699"/>
    <cellStyle name="メモ 2 3 3 6 3" xfId="7732"/>
    <cellStyle name="メモ 2 3 3 7" xfId="4633"/>
    <cellStyle name="メモ 2 3 3 7 2" xfId="8028"/>
    <cellStyle name="メモ 2 3 3 8" xfId="7061"/>
    <cellStyle name="メモ 2 3 4" xfId="3118"/>
    <cellStyle name="メモ 2 3 4 2" xfId="5391"/>
    <cellStyle name="メモ 2 3 4 2 2" xfId="8183"/>
    <cellStyle name="メモ 2 3 4 3" xfId="7216"/>
    <cellStyle name="メモ 2 3 5" xfId="2259"/>
    <cellStyle name="メモ 2 3 5 2" xfId="6924"/>
    <cellStyle name="メモ 2 3 6" xfId="2031"/>
    <cellStyle name="メモ 2 4" xfId="812"/>
    <cellStyle name="メモ 2 4 2" xfId="813"/>
    <cellStyle name="メモ 2 4 2 2" xfId="3456"/>
    <cellStyle name="メモ 2 4 2 2 2" xfId="5729"/>
    <cellStyle name="メモ 2 4 2 2 2 2" xfId="8435"/>
    <cellStyle name="メモ 2 4 2 2 3" xfId="7468"/>
    <cellStyle name="メモ 2 4 2 3" xfId="3280"/>
    <cellStyle name="メモ 2 4 2 3 2" xfId="5553"/>
    <cellStyle name="メモ 2 4 2 3 2 2" xfId="8308"/>
    <cellStyle name="メモ 2 4 2 3 3" xfId="7341"/>
    <cellStyle name="メモ 2 4 2 4" xfId="3680"/>
    <cellStyle name="メモ 2 4 2 4 2" xfId="5953"/>
    <cellStyle name="メモ 2 4 2 4 2 2" xfId="8573"/>
    <cellStyle name="メモ 2 4 2 4 3" xfId="7606"/>
    <cellStyle name="メモ 2 4 2 5" xfId="3791"/>
    <cellStyle name="メモ 2 4 2 5 2" xfId="6064"/>
    <cellStyle name="メモ 2 4 2 5 2 2" xfId="8682"/>
    <cellStyle name="メモ 2 4 2 5 3" xfId="7715"/>
    <cellStyle name="メモ 2 4 2 6" xfId="4005"/>
    <cellStyle name="メモ 2 4 2 6 2" xfId="6278"/>
    <cellStyle name="メモ 2 4 2 6 2 2" xfId="8866"/>
    <cellStyle name="メモ 2 4 2 6 3" xfId="7899"/>
    <cellStyle name="メモ 2 4 2 7" xfId="4635"/>
    <cellStyle name="メモ 2 4 2 7 2" xfId="8030"/>
    <cellStyle name="メモ 2 4 2 8" xfId="7063"/>
    <cellStyle name="メモ 2 4 3" xfId="3120"/>
    <cellStyle name="メモ 2 4 3 2" xfId="5393"/>
    <cellStyle name="メモ 2 4 3 2 2" xfId="8185"/>
    <cellStyle name="メモ 2 4 3 3" xfId="7218"/>
    <cellStyle name="メモ 2 4 4" xfId="2261"/>
    <cellStyle name="メモ 2 4 4 2" xfId="6926"/>
    <cellStyle name="メモ 2 4 5" xfId="2033"/>
    <cellStyle name="メモ 2 5" xfId="814"/>
    <cellStyle name="メモ 2 5 2" xfId="815"/>
    <cellStyle name="メモ 2 5 2 2" xfId="3457"/>
    <cellStyle name="メモ 2 5 2 2 2" xfId="5730"/>
    <cellStyle name="メモ 2 5 2 2 2 2" xfId="8436"/>
    <cellStyle name="メモ 2 5 2 2 3" xfId="7469"/>
    <cellStyle name="メモ 2 5 2 3" xfId="3281"/>
    <cellStyle name="メモ 2 5 2 3 2" xfId="5554"/>
    <cellStyle name="メモ 2 5 2 3 2 2" xfId="8309"/>
    <cellStyle name="メモ 2 5 2 3 3" xfId="7342"/>
    <cellStyle name="メモ 2 5 2 4" xfId="3681"/>
    <cellStyle name="メモ 2 5 2 4 2" xfId="5954"/>
    <cellStyle name="メモ 2 5 2 4 2 2" xfId="8574"/>
    <cellStyle name="メモ 2 5 2 4 3" xfId="7607"/>
    <cellStyle name="メモ 2 5 2 5" xfId="3878"/>
    <cellStyle name="メモ 2 5 2 5 2" xfId="6151"/>
    <cellStyle name="メモ 2 5 2 5 2 2" xfId="8769"/>
    <cellStyle name="メモ 2 5 2 5 3" xfId="7802"/>
    <cellStyle name="メモ 2 5 2 6" xfId="3823"/>
    <cellStyle name="メモ 2 5 2 6 2" xfId="6096"/>
    <cellStyle name="メモ 2 5 2 6 2 2" xfId="8714"/>
    <cellStyle name="メモ 2 5 2 6 3" xfId="7747"/>
    <cellStyle name="メモ 2 5 2 7" xfId="4636"/>
    <cellStyle name="メモ 2 5 2 7 2" xfId="8031"/>
    <cellStyle name="メモ 2 5 2 8" xfId="7064"/>
    <cellStyle name="メモ 2 5 3" xfId="3121"/>
    <cellStyle name="メモ 2 5 3 2" xfId="5394"/>
    <cellStyle name="メモ 2 5 3 2 2" xfId="8186"/>
    <cellStyle name="メモ 2 5 3 3" xfId="7219"/>
    <cellStyle name="メモ 2 5 4" xfId="2262"/>
    <cellStyle name="メモ 2 5 4 2" xfId="6927"/>
    <cellStyle name="メモ 2 5 5" xfId="2034"/>
    <cellStyle name="メモ 2 6" xfId="816"/>
    <cellStyle name="メモ 2 6 2" xfId="817"/>
    <cellStyle name="メモ 2 6 2 2" xfId="3458"/>
    <cellStyle name="メモ 2 6 2 2 2" xfId="5731"/>
    <cellStyle name="メモ 2 6 2 2 2 2" xfId="8437"/>
    <cellStyle name="メモ 2 6 2 2 3" xfId="7470"/>
    <cellStyle name="メモ 2 6 2 3" xfId="3282"/>
    <cellStyle name="メモ 2 6 2 3 2" xfId="5555"/>
    <cellStyle name="メモ 2 6 2 3 2 2" xfId="8310"/>
    <cellStyle name="メモ 2 6 2 3 3" xfId="7343"/>
    <cellStyle name="メモ 2 6 2 4" xfId="3682"/>
    <cellStyle name="メモ 2 6 2 4 2" xfId="5955"/>
    <cellStyle name="メモ 2 6 2 4 2 2" xfId="8575"/>
    <cellStyle name="メモ 2 6 2 4 3" xfId="7608"/>
    <cellStyle name="メモ 2 6 2 5" xfId="3879"/>
    <cellStyle name="メモ 2 6 2 5 2" xfId="6152"/>
    <cellStyle name="メモ 2 6 2 5 2 2" xfId="8770"/>
    <cellStyle name="メモ 2 6 2 5 3" xfId="7803"/>
    <cellStyle name="メモ 2 6 2 6" xfId="3809"/>
    <cellStyle name="メモ 2 6 2 6 2" xfId="6082"/>
    <cellStyle name="メモ 2 6 2 6 2 2" xfId="8700"/>
    <cellStyle name="メモ 2 6 2 6 3" xfId="7733"/>
    <cellStyle name="メモ 2 6 2 7" xfId="4637"/>
    <cellStyle name="メモ 2 6 2 7 2" xfId="8032"/>
    <cellStyle name="メモ 2 6 2 8" xfId="7065"/>
    <cellStyle name="メモ 2 6 3" xfId="3263"/>
    <cellStyle name="メモ 2 6 3 2" xfId="5536"/>
    <cellStyle name="メモ 2 6 3 2 2" xfId="8298"/>
    <cellStyle name="メモ 2 6 3 3" xfId="7331"/>
    <cellStyle name="メモ 2 6 4" xfId="2263"/>
    <cellStyle name="メモ 2 6 4 2" xfId="6928"/>
    <cellStyle name="メモ 2 6 5" xfId="2035"/>
    <cellStyle name="メモ 2 7" xfId="818"/>
    <cellStyle name="メモ 2 7 2" xfId="819"/>
    <cellStyle name="メモ 2 7 2 2" xfId="3459"/>
    <cellStyle name="メモ 2 7 2 2 2" xfId="5732"/>
    <cellStyle name="メモ 2 7 2 2 2 2" xfId="8438"/>
    <cellStyle name="メモ 2 7 2 2 3" xfId="7471"/>
    <cellStyle name="メモ 2 7 2 3" xfId="3283"/>
    <cellStyle name="メモ 2 7 2 3 2" xfId="5556"/>
    <cellStyle name="メモ 2 7 2 3 2 2" xfId="8311"/>
    <cellStyle name="メモ 2 7 2 3 3" xfId="7344"/>
    <cellStyle name="メモ 2 7 2 4" xfId="3683"/>
    <cellStyle name="メモ 2 7 2 4 2" xfId="5956"/>
    <cellStyle name="メモ 2 7 2 4 2 2" xfId="8576"/>
    <cellStyle name="メモ 2 7 2 4 3" xfId="7609"/>
    <cellStyle name="メモ 2 7 2 5" xfId="3880"/>
    <cellStyle name="メモ 2 7 2 5 2" xfId="6153"/>
    <cellStyle name="メモ 2 7 2 5 2 2" xfId="8771"/>
    <cellStyle name="メモ 2 7 2 5 3" xfId="7804"/>
    <cellStyle name="メモ 2 7 2 6" xfId="3821"/>
    <cellStyle name="メモ 2 7 2 6 2" xfId="6094"/>
    <cellStyle name="メモ 2 7 2 6 2 2" xfId="8712"/>
    <cellStyle name="メモ 2 7 2 6 3" xfId="7745"/>
    <cellStyle name="メモ 2 7 2 7" xfId="4638"/>
    <cellStyle name="メモ 2 7 2 7 2" xfId="8033"/>
    <cellStyle name="メモ 2 7 2 8" xfId="7066"/>
    <cellStyle name="メモ 2 7 3" xfId="3122"/>
    <cellStyle name="メモ 2 7 3 2" xfId="5395"/>
    <cellStyle name="メモ 2 7 3 2 2" xfId="8187"/>
    <cellStyle name="メモ 2 7 3 3" xfId="7220"/>
    <cellStyle name="メモ 2 7 4" xfId="2264"/>
    <cellStyle name="メモ 2 7 4 2" xfId="6929"/>
    <cellStyle name="メモ 2 7 5" xfId="2036"/>
    <cellStyle name="メモ 2 8" xfId="820"/>
    <cellStyle name="メモ 2 8 2" xfId="821"/>
    <cellStyle name="メモ 2 8 2 2" xfId="3460"/>
    <cellStyle name="メモ 2 8 2 2 2" xfId="5733"/>
    <cellStyle name="メモ 2 8 2 2 2 2" xfId="8439"/>
    <cellStyle name="メモ 2 8 2 2 3" xfId="7472"/>
    <cellStyle name="メモ 2 8 2 3" xfId="3284"/>
    <cellStyle name="メモ 2 8 2 3 2" xfId="5557"/>
    <cellStyle name="メモ 2 8 2 3 2 2" xfId="8312"/>
    <cellStyle name="メモ 2 8 2 3 3" xfId="7345"/>
    <cellStyle name="メモ 2 8 2 4" xfId="3684"/>
    <cellStyle name="メモ 2 8 2 4 2" xfId="5957"/>
    <cellStyle name="メモ 2 8 2 4 2 2" xfId="8577"/>
    <cellStyle name="メモ 2 8 2 4 3" xfId="7610"/>
    <cellStyle name="メモ 2 8 2 5" xfId="3792"/>
    <cellStyle name="メモ 2 8 2 5 2" xfId="6065"/>
    <cellStyle name="メモ 2 8 2 5 2 2" xfId="8683"/>
    <cellStyle name="メモ 2 8 2 5 3" xfId="7716"/>
    <cellStyle name="メモ 2 8 2 6" xfId="3810"/>
    <cellStyle name="メモ 2 8 2 6 2" xfId="6083"/>
    <cellStyle name="メモ 2 8 2 6 2 2" xfId="8701"/>
    <cellStyle name="メモ 2 8 2 6 3" xfId="7734"/>
    <cellStyle name="メモ 2 8 2 7" xfId="4639"/>
    <cellStyle name="メモ 2 8 2 7 2" xfId="8034"/>
    <cellStyle name="メモ 2 8 2 8" xfId="7067"/>
    <cellStyle name="メモ 2 8 3" xfId="3264"/>
    <cellStyle name="メモ 2 8 3 2" xfId="5537"/>
    <cellStyle name="メモ 2 8 3 2 2" xfId="8299"/>
    <cellStyle name="メモ 2 8 3 3" xfId="7332"/>
    <cellStyle name="メモ 2 8 4" xfId="2265"/>
    <cellStyle name="メモ 2 8 4 2" xfId="6930"/>
    <cellStyle name="メモ 2 8 5" xfId="2037"/>
    <cellStyle name="メモ 2 9" xfId="822"/>
    <cellStyle name="メモ 2 9 2" xfId="823"/>
    <cellStyle name="メモ 2 9 2 2" xfId="3461"/>
    <cellStyle name="メモ 2 9 2 2 2" xfId="5734"/>
    <cellStyle name="メモ 2 9 2 2 2 2" xfId="8440"/>
    <cellStyle name="メモ 2 9 2 2 3" xfId="7473"/>
    <cellStyle name="メモ 2 9 2 3" xfId="3285"/>
    <cellStyle name="メモ 2 9 2 3 2" xfId="5558"/>
    <cellStyle name="メモ 2 9 2 3 2 2" xfId="8313"/>
    <cellStyle name="メモ 2 9 2 3 3" xfId="7346"/>
    <cellStyle name="メモ 2 9 2 4" xfId="3685"/>
    <cellStyle name="メモ 2 9 2 4 2" xfId="5958"/>
    <cellStyle name="メモ 2 9 2 4 2 2" xfId="8578"/>
    <cellStyle name="メモ 2 9 2 4 3" xfId="7611"/>
    <cellStyle name="メモ 2 9 2 5" xfId="3881"/>
    <cellStyle name="メモ 2 9 2 5 2" xfId="6154"/>
    <cellStyle name="メモ 2 9 2 5 2 2" xfId="8772"/>
    <cellStyle name="メモ 2 9 2 5 3" xfId="7805"/>
    <cellStyle name="メモ 2 9 2 6" xfId="3822"/>
    <cellStyle name="メモ 2 9 2 6 2" xfId="6095"/>
    <cellStyle name="メモ 2 9 2 6 2 2" xfId="8713"/>
    <cellStyle name="メモ 2 9 2 6 3" xfId="7746"/>
    <cellStyle name="メモ 2 9 2 7" xfId="4640"/>
    <cellStyle name="メモ 2 9 2 7 2" xfId="8035"/>
    <cellStyle name="メモ 2 9 2 8" xfId="7068"/>
    <cellStyle name="メモ 2 9 3" xfId="3123"/>
    <cellStyle name="メモ 2 9 3 2" xfId="5396"/>
    <cellStyle name="メモ 2 9 3 2 2" xfId="8188"/>
    <cellStyle name="メモ 2 9 3 3" xfId="7221"/>
    <cellStyle name="メモ 2 9 4" xfId="2266"/>
    <cellStyle name="メモ 2 9 4 2" xfId="6931"/>
    <cellStyle name="メモ 2 9 5" xfId="2038"/>
    <cellStyle name="メモ 20" xfId="824"/>
    <cellStyle name="メモ 20 10" xfId="4255"/>
    <cellStyle name="メモ 20 10 2" xfId="6528"/>
    <cellStyle name="メモ 20 10 2 2" xfId="11332"/>
    <cellStyle name="メモ 20 10 3" xfId="10023"/>
    <cellStyle name="メモ 20 11" xfId="4347"/>
    <cellStyle name="メモ 20 11 2" xfId="6620"/>
    <cellStyle name="メモ 20 11 2 2" xfId="11421"/>
    <cellStyle name="メモ 20 11 3" xfId="10112"/>
    <cellStyle name="メモ 20 12" xfId="4437"/>
    <cellStyle name="メモ 20 12 2" xfId="6710"/>
    <cellStyle name="メモ 20 12 2 2" xfId="11510"/>
    <cellStyle name="メモ 20 12 3" xfId="10201"/>
    <cellStyle name="メモ 20 13" xfId="4533"/>
    <cellStyle name="メモ 20 13 2" xfId="10290"/>
    <cellStyle name="メモ 20 14" xfId="2159"/>
    <cellStyle name="メモ 20 14 2" xfId="11605"/>
    <cellStyle name="メモ 20 15" xfId="8981"/>
    <cellStyle name="メモ 20 2" xfId="2465"/>
    <cellStyle name="メモ 20 2 2" xfId="3011"/>
    <cellStyle name="メモ 20 2 2 2" xfId="5284"/>
    <cellStyle name="メモ 20 2 2 2 2" xfId="10896"/>
    <cellStyle name="メモ 20 2 2 3" xfId="9587"/>
    <cellStyle name="メモ 20 2 3" xfId="3582"/>
    <cellStyle name="メモ 20 2 3 2" xfId="5855"/>
    <cellStyle name="メモ 20 2 3 2 2" xfId="11070"/>
    <cellStyle name="メモ 20 2 3 3" xfId="9761"/>
    <cellStyle name="メモ 20 2 4" xfId="4146"/>
    <cellStyle name="メモ 20 2 4 2" xfId="6419"/>
    <cellStyle name="メモ 20 2 4 2 2" xfId="11244"/>
    <cellStyle name="メモ 20 2 4 3" xfId="9935"/>
    <cellStyle name="メモ 20 2 5" xfId="4745"/>
    <cellStyle name="メモ 20 2 5 2" xfId="10364"/>
    <cellStyle name="メモ 20 2 6" xfId="9055"/>
    <cellStyle name="メモ 20 3" xfId="2559"/>
    <cellStyle name="メモ 20 3 2" xfId="4837"/>
    <cellStyle name="メモ 20 3 2 2" xfId="10454"/>
    <cellStyle name="メモ 20 3 3" xfId="9145"/>
    <cellStyle name="メモ 20 4" xfId="2649"/>
    <cellStyle name="メモ 20 4 2" xfId="4927"/>
    <cellStyle name="メモ 20 4 2 2" xfId="10543"/>
    <cellStyle name="メモ 20 4 3" xfId="9234"/>
    <cellStyle name="メモ 20 5" xfId="2744"/>
    <cellStyle name="メモ 20 5 2" xfId="5017"/>
    <cellStyle name="メモ 20 5 2 2" xfId="10632"/>
    <cellStyle name="メモ 20 5 3" xfId="9323"/>
    <cellStyle name="メモ 20 6" xfId="2834"/>
    <cellStyle name="メモ 20 6 2" xfId="5107"/>
    <cellStyle name="メモ 20 6 2 2" xfId="10721"/>
    <cellStyle name="メモ 20 6 3" xfId="9412"/>
    <cellStyle name="メモ 20 7" xfId="2923"/>
    <cellStyle name="メモ 20 7 2" xfId="5196"/>
    <cellStyle name="メモ 20 7 2 2" xfId="10808"/>
    <cellStyle name="メモ 20 7 3" xfId="9499"/>
    <cellStyle name="メモ 20 8" xfId="3352"/>
    <cellStyle name="メモ 20 8 2" xfId="5625"/>
    <cellStyle name="メモ 20 8 2 2" xfId="10982"/>
    <cellStyle name="メモ 20 8 3" xfId="9673"/>
    <cellStyle name="メモ 20 9" xfId="4053"/>
    <cellStyle name="メモ 20 9 2" xfId="6326"/>
    <cellStyle name="メモ 20 9 2 2" xfId="11156"/>
    <cellStyle name="メモ 20 9 3" xfId="9847"/>
    <cellStyle name="メモ 21" xfId="825"/>
    <cellStyle name="メモ 21 10" xfId="4268"/>
    <cellStyle name="メモ 21 10 2" xfId="6541"/>
    <cellStyle name="メモ 21 10 2 2" xfId="11345"/>
    <cellStyle name="メモ 21 10 3" xfId="10036"/>
    <cellStyle name="メモ 21 11" xfId="4360"/>
    <cellStyle name="メモ 21 11 2" xfId="6633"/>
    <cellStyle name="メモ 21 11 2 2" xfId="11434"/>
    <cellStyle name="メモ 21 11 3" xfId="10125"/>
    <cellStyle name="メモ 21 12" xfId="4450"/>
    <cellStyle name="メモ 21 12 2" xfId="6723"/>
    <cellStyle name="メモ 21 12 2 2" xfId="11523"/>
    <cellStyle name="メモ 21 12 3" xfId="10214"/>
    <cellStyle name="メモ 21 13" xfId="4546"/>
    <cellStyle name="メモ 21 13 2" xfId="10303"/>
    <cellStyle name="メモ 21 14" xfId="2172"/>
    <cellStyle name="メモ 21 14 2" xfId="11618"/>
    <cellStyle name="メモ 21 15" xfId="8994"/>
    <cellStyle name="メモ 21 2" xfId="2478"/>
    <cellStyle name="メモ 21 2 2" xfId="3024"/>
    <cellStyle name="メモ 21 2 2 2" xfId="5297"/>
    <cellStyle name="メモ 21 2 2 2 2" xfId="10909"/>
    <cellStyle name="メモ 21 2 2 3" xfId="9600"/>
    <cellStyle name="メモ 21 2 3" xfId="3595"/>
    <cellStyle name="メモ 21 2 3 2" xfId="5868"/>
    <cellStyle name="メモ 21 2 3 2 2" xfId="11083"/>
    <cellStyle name="メモ 21 2 3 3" xfId="9774"/>
    <cellStyle name="メモ 21 2 4" xfId="4159"/>
    <cellStyle name="メモ 21 2 4 2" xfId="6432"/>
    <cellStyle name="メモ 21 2 4 2 2" xfId="11257"/>
    <cellStyle name="メモ 21 2 4 3" xfId="9948"/>
    <cellStyle name="メモ 21 2 5" xfId="4758"/>
    <cellStyle name="メモ 21 2 5 2" xfId="10377"/>
    <cellStyle name="メモ 21 2 6" xfId="9068"/>
    <cellStyle name="メモ 21 3" xfId="2572"/>
    <cellStyle name="メモ 21 3 2" xfId="4850"/>
    <cellStyle name="メモ 21 3 2 2" xfId="10467"/>
    <cellStyle name="メモ 21 3 3" xfId="9158"/>
    <cellStyle name="メモ 21 4" xfId="2662"/>
    <cellStyle name="メモ 21 4 2" xfId="4940"/>
    <cellStyle name="メモ 21 4 2 2" xfId="10556"/>
    <cellStyle name="メモ 21 4 3" xfId="9247"/>
    <cellStyle name="メモ 21 5" xfId="2757"/>
    <cellStyle name="メモ 21 5 2" xfId="5030"/>
    <cellStyle name="メモ 21 5 2 2" xfId="10645"/>
    <cellStyle name="メモ 21 5 3" xfId="9336"/>
    <cellStyle name="メモ 21 6" xfId="2847"/>
    <cellStyle name="メモ 21 6 2" xfId="5120"/>
    <cellStyle name="メモ 21 6 2 2" xfId="10734"/>
    <cellStyle name="メモ 21 6 3" xfId="9425"/>
    <cellStyle name="メモ 21 7" xfId="2936"/>
    <cellStyle name="メモ 21 7 2" xfId="5209"/>
    <cellStyle name="メモ 21 7 2 2" xfId="10821"/>
    <cellStyle name="メモ 21 7 3" xfId="9512"/>
    <cellStyle name="メモ 21 8" xfId="3365"/>
    <cellStyle name="メモ 21 8 2" xfId="5638"/>
    <cellStyle name="メモ 21 8 2 2" xfId="10995"/>
    <cellStyle name="メモ 21 8 3" xfId="9686"/>
    <cellStyle name="メモ 21 9" xfId="4066"/>
    <cellStyle name="メモ 21 9 2" xfId="6339"/>
    <cellStyle name="メモ 21 9 2 2" xfId="11169"/>
    <cellStyle name="メモ 21 9 3" xfId="9860"/>
    <cellStyle name="メモ 22" xfId="826"/>
    <cellStyle name="メモ 22 10" xfId="4273"/>
    <cellStyle name="メモ 22 10 2" xfId="6546"/>
    <cellStyle name="メモ 22 10 2 2" xfId="11350"/>
    <cellStyle name="メモ 22 10 3" xfId="10041"/>
    <cellStyle name="メモ 22 11" xfId="4365"/>
    <cellStyle name="メモ 22 11 2" xfId="6638"/>
    <cellStyle name="メモ 22 11 2 2" xfId="11439"/>
    <cellStyle name="メモ 22 11 3" xfId="10130"/>
    <cellStyle name="メモ 22 12" xfId="4455"/>
    <cellStyle name="メモ 22 12 2" xfId="6728"/>
    <cellStyle name="メモ 22 12 2 2" xfId="11528"/>
    <cellStyle name="メモ 22 12 3" xfId="10219"/>
    <cellStyle name="メモ 22 13" xfId="4551"/>
    <cellStyle name="メモ 22 13 2" xfId="10308"/>
    <cellStyle name="メモ 22 14" xfId="2177"/>
    <cellStyle name="メモ 22 14 2" xfId="11623"/>
    <cellStyle name="メモ 22 15" xfId="8999"/>
    <cellStyle name="メモ 22 2" xfId="2483"/>
    <cellStyle name="メモ 22 2 2" xfId="3029"/>
    <cellStyle name="メモ 22 2 2 2" xfId="5302"/>
    <cellStyle name="メモ 22 2 2 2 2" xfId="10914"/>
    <cellStyle name="メモ 22 2 2 3" xfId="9605"/>
    <cellStyle name="メモ 22 2 3" xfId="3600"/>
    <cellStyle name="メモ 22 2 3 2" xfId="5873"/>
    <cellStyle name="メモ 22 2 3 2 2" xfId="11088"/>
    <cellStyle name="メモ 22 2 3 3" xfId="9779"/>
    <cellStyle name="メモ 22 2 4" xfId="4164"/>
    <cellStyle name="メモ 22 2 4 2" xfId="6437"/>
    <cellStyle name="メモ 22 2 4 2 2" xfId="11262"/>
    <cellStyle name="メモ 22 2 4 3" xfId="9953"/>
    <cellStyle name="メモ 22 2 5" xfId="4763"/>
    <cellStyle name="メモ 22 2 5 2" xfId="10382"/>
    <cellStyle name="メモ 22 2 6" xfId="9073"/>
    <cellStyle name="メモ 22 3" xfId="2577"/>
    <cellStyle name="メモ 22 3 2" xfId="4855"/>
    <cellStyle name="メモ 22 3 2 2" xfId="10472"/>
    <cellStyle name="メモ 22 3 3" xfId="9163"/>
    <cellStyle name="メモ 22 4" xfId="2667"/>
    <cellStyle name="メモ 22 4 2" xfId="4945"/>
    <cellStyle name="メモ 22 4 2 2" xfId="10561"/>
    <cellStyle name="メモ 22 4 3" xfId="9252"/>
    <cellStyle name="メモ 22 5" xfId="2762"/>
    <cellStyle name="メモ 22 5 2" xfId="5035"/>
    <cellStyle name="メモ 22 5 2 2" xfId="10650"/>
    <cellStyle name="メモ 22 5 3" xfId="9341"/>
    <cellStyle name="メモ 22 6" xfId="2852"/>
    <cellStyle name="メモ 22 6 2" xfId="5125"/>
    <cellStyle name="メモ 22 6 2 2" xfId="10739"/>
    <cellStyle name="メモ 22 6 3" xfId="9430"/>
    <cellStyle name="メモ 22 7" xfId="2941"/>
    <cellStyle name="メモ 22 7 2" xfId="5214"/>
    <cellStyle name="メモ 22 7 2 2" xfId="10826"/>
    <cellStyle name="メモ 22 7 3" xfId="9517"/>
    <cellStyle name="メモ 22 8" xfId="3370"/>
    <cellStyle name="メモ 22 8 2" xfId="5643"/>
    <cellStyle name="メモ 22 8 2 2" xfId="11000"/>
    <cellStyle name="メモ 22 8 3" xfId="9691"/>
    <cellStyle name="メモ 22 9" xfId="4071"/>
    <cellStyle name="メモ 22 9 2" xfId="6344"/>
    <cellStyle name="メモ 22 9 2 2" xfId="11174"/>
    <cellStyle name="メモ 22 9 3" xfId="9865"/>
    <cellStyle name="メモ 23" xfId="827"/>
    <cellStyle name="メモ 23 10" xfId="4281"/>
    <cellStyle name="メモ 23 10 2" xfId="6554"/>
    <cellStyle name="メモ 23 10 2 2" xfId="11358"/>
    <cellStyle name="メモ 23 10 3" xfId="10049"/>
    <cellStyle name="メモ 23 11" xfId="4373"/>
    <cellStyle name="メモ 23 11 2" xfId="6646"/>
    <cellStyle name="メモ 23 11 2 2" xfId="11447"/>
    <cellStyle name="メモ 23 11 3" xfId="10138"/>
    <cellStyle name="メモ 23 12" xfId="4463"/>
    <cellStyle name="メモ 23 12 2" xfId="6736"/>
    <cellStyle name="メモ 23 12 2 2" xfId="11536"/>
    <cellStyle name="メモ 23 12 3" xfId="10227"/>
    <cellStyle name="メモ 23 13" xfId="4559"/>
    <cellStyle name="メモ 23 13 2" xfId="10316"/>
    <cellStyle name="メモ 23 14" xfId="2185"/>
    <cellStyle name="メモ 23 14 2" xfId="11631"/>
    <cellStyle name="メモ 23 15" xfId="9007"/>
    <cellStyle name="メモ 23 2" xfId="2491"/>
    <cellStyle name="メモ 23 2 2" xfId="3037"/>
    <cellStyle name="メモ 23 2 2 2" xfId="5310"/>
    <cellStyle name="メモ 23 2 2 2 2" xfId="10922"/>
    <cellStyle name="メモ 23 2 2 3" xfId="9613"/>
    <cellStyle name="メモ 23 2 3" xfId="3609"/>
    <cellStyle name="メモ 23 2 3 2" xfId="5882"/>
    <cellStyle name="メモ 23 2 3 2 2" xfId="11096"/>
    <cellStyle name="メモ 23 2 3 3" xfId="9787"/>
    <cellStyle name="メモ 23 2 4" xfId="4172"/>
    <cellStyle name="メモ 23 2 4 2" xfId="6445"/>
    <cellStyle name="メモ 23 2 4 2 2" xfId="11270"/>
    <cellStyle name="メモ 23 2 4 3" xfId="9961"/>
    <cellStyle name="メモ 23 2 5" xfId="4771"/>
    <cellStyle name="メモ 23 2 5 2" xfId="10390"/>
    <cellStyle name="メモ 23 2 6" xfId="9081"/>
    <cellStyle name="メモ 23 3" xfId="2585"/>
    <cellStyle name="メモ 23 3 2" xfId="4863"/>
    <cellStyle name="メモ 23 3 2 2" xfId="10480"/>
    <cellStyle name="メモ 23 3 3" xfId="9171"/>
    <cellStyle name="メモ 23 4" xfId="2675"/>
    <cellStyle name="メモ 23 4 2" xfId="4953"/>
    <cellStyle name="メモ 23 4 2 2" xfId="10569"/>
    <cellStyle name="メモ 23 4 3" xfId="9260"/>
    <cellStyle name="メモ 23 5" xfId="2770"/>
    <cellStyle name="メモ 23 5 2" xfId="5043"/>
    <cellStyle name="メモ 23 5 2 2" xfId="10658"/>
    <cellStyle name="メモ 23 5 3" xfId="9349"/>
    <cellStyle name="メモ 23 6" xfId="2860"/>
    <cellStyle name="メモ 23 6 2" xfId="5133"/>
    <cellStyle name="メモ 23 6 2 2" xfId="10747"/>
    <cellStyle name="メモ 23 6 3" xfId="9438"/>
    <cellStyle name="メモ 23 7" xfId="2949"/>
    <cellStyle name="メモ 23 7 2" xfId="5222"/>
    <cellStyle name="メモ 23 7 2 2" xfId="10834"/>
    <cellStyle name="メモ 23 7 3" xfId="9525"/>
    <cellStyle name="メモ 23 8" xfId="3380"/>
    <cellStyle name="メモ 23 8 2" xfId="5653"/>
    <cellStyle name="メモ 23 8 2 2" xfId="11008"/>
    <cellStyle name="メモ 23 8 3" xfId="9699"/>
    <cellStyle name="メモ 23 9" xfId="4079"/>
    <cellStyle name="メモ 23 9 2" xfId="6352"/>
    <cellStyle name="メモ 23 9 2 2" xfId="11182"/>
    <cellStyle name="メモ 23 9 3" xfId="9873"/>
    <cellStyle name="メモ 24" xfId="8"/>
    <cellStyle name="メモ 24 10" xfId="4287"/>
    <cellStyle name="メモ 24 10 2" xfId="6560"/>
    <cellStyle name="メモ 24 10 2 2" xfId="11364"/>
    <cellStyle name="メモ 24 10 3" xfId="10055"/>
    <cellStyle name="メモ 24 11" xfId="4379"/>
    <cellStyle name="メモ 24 11 2" xfId="6652"/>
    <cellStyle name="メモ 24 11 2 2" xfId="11453"/>
    <cellStyle name="メモ 24 11 3" xfId="10144"/>
    <cellStyle name="メモ 24 12" xfId="4469"/>
    <cellStyle name="メモ 24 12 2" xfId="6742"/>
    <cellStyle name="メモ 24 12 2 2" xfId="11542"/>
    <cellStyle name="メモ 24 12 3" xfId="10233"/>
    <cellStyle name="メモ 24 13" xfId="4565"/>
    <cellStyle name="メモ 24 13 2" xfId="10322"/>
    <cellStyle name="メモ 24 14" xfId="2191"/>
    <cellStyle name="メモ 24 14 2" xfId="11636"/>
    <cellStyle name="メモ 24 15" xfId="9013"/>
    <cellStyle name="メモ 24 16" xfId="11553"/>
    <cellStyle name="メモ 24 2" xfId="2497"/>
    <cellStyle name="メモ 24 2 2" xfId="3043"/>
    <cellStyle name="メモ 24 2 2 2" xfId="5316"/>
    <cellStyle name="メモ 24 2 2 2 2" xfId="10928"/>
    <cellStyle name="メモ 24 2 2 3" xfId="9619"/>
    <cellStyle name="メモ 24 2 3" xfId="3615"/>
    <cellStyle name="メモ 24 2 3 2" xfId="5888"/>
    <cellStyle name="メモ 24 2 3 2 2" xfId="11102"/>
    <cellStyle name="メモ 24 2 3 3" xfId="9793"/>
    <cellStyle name="メモ 24 2 4" xfId="4178"/>
    <cellStyle name="メモ 24 2 4 2" xfId="6451"/>
    <cellStyle name="メモ 24 2 4 2 2" xfId="11276"/>
    <cellStyle name="メモ 24 2 4 3" xfId="9967"/>
    <cellStyle name="メモ 24 2 5" xfId="4777"/>
    <cellStyle name="メモ 24 2 5 2" xfId="10396"/>
    <cellStyle name="メモ 24 2 6" xfId="9087"/>
    <cellStyle name="メモ 24 3" xfId="2591"/>
    <cellStyle name="メモ 24 3 2" xfId="4869"/>
    <cellStyle name="メモ 24 3 2 2" xfId="10486"/>
    <cellStyle name="メモ 24 3 3" xfId="9177"/>
    <cellStyle name="メモ 24 4" xfId="2681"/>
    <cellStyle name="メモ 24 4 2" xfId="4959"/>
    <cellStyle name="メモ 24 4 2 2" xfId="10575"/>
    <cellStyle name="メモ 24 4 3" xfId="9266"/>
    <cellStyle name="メモ 24 5" xfId="2776"/>
    <cellStyle name="メモ 24 5 2" xfId="5049"/>
    <cellStyle name="メモ 24 5 2 2" xfId="10664"/>
    <cellStyle name="メモ 24 5 3" xfId="9355"/>
    <cellStyle name="メモ 24 6" xfId="2866"/>
    <cellStyle name="メモ 24 6 2" xfId="5139"/>
    <cellStyle name="メモ 24 6 2 2" xfId="10753"/>
    <cellStyle name="メモ 24 6 3" xfId="9444"/>
    <cellStyle name="メモ 24 7" xfId="2955"/>
    <cellStyle name="メモ 24 7 2" xfId="5228"/>
    <cellStyle name="メモ 24 7 2 2" xfId="10840"/>
    <cellStyle name="メモ 24 7 3" xfId="9531"/>
    <cellStyle name="メモ 24 8" xfId="3391"/>
    <cellStyle name="メモ 24 8 2" xfId="5664"/>
    <cellStyle name="メモ 24 8 2 2" xfId="11014"/>
    <cellStyle name="メモ 24 8 3" xfId="9705"/>
    <cellStyle name="メモ 24 9" xfId="4085"/>
    <cellStyle name="メモ 24 9 2" xfId="6358"/>
    <cellStyle name="メモ 24 9 2 2" xfId="11188"/>
    <cellStyle name="メモ 24 9 3" xfId="9879"/>
    <cellStyle name="メモ 25" xfId="2341"/>
    <cellStyle name="メモ 25 2" xfId="2963"/>
    <cellStyle name="メモ 25 2 2" xfId="5236"/>
    <cellStyle name="メモ 25 2 2 2" xfId="10848"/>
    <cellStyle name="メモ 25 2 3" xfId="9539"/>
    <cellStyle name="メモ 25 3" xfId="3399"/>
    <cellStyle name="メモ 25 3 2" xfId="5672"/>
    <cellStyle name="メモ 25 3 2 2" xfId="11022"/>
    <cellStyle name="メモ 25 3 3" xfId="9713"/>
    <cellStyle name="メモ 25 4" xfId="4093"/>
    <cellStyle name="メモ 25 4 2" xfId="6366"/>
    <cellStyle name="メモ 25 4 2 2" xfId="11196"/>
    <cellStyle name="メモ 25 4 3" xfId="9887"/>
    <cellStyle name="メモ 25 5" xfId="4574"/>
    <cellStyle name="メモ 25 5 2" xfId="10331"/>
    <cellStyle name="メモ 25 6" xfId="9022"/>
    <cellStyle name="メモ 26" xfId="2505"/>
    <cellStyle name="メモ 26 2" xfId="4785"/>
    <cellStyle name="メモ 26 2 2" xfId="10404"/>
    <cellStyle name="メモ 26 3" xfId="9095"/>
    <cellStyle name="メモ 27" xfId="2509"/>
    <cellStyle name="メモ 27 2" xfId="4787"/>
    <cellStyle name="メモ 27 2 2" xfId="10406"/>
    <cellStyle name="メモ 27 3" xfId="9097"/>
    <cellStyle name="メモ 28" xfId="2600"/>
    <cellStyle name="メモ 28 2" xfId="4878"/>
    <cellStyle name="メモ 28 2 2" xfId="10495"/>
    <cellStyle name="メモ 28 3" xfId="9186"/>
    <cellStyle name="メモ 29" xfId="2690"/>
    <cellStyle name="メモ 29 2" xfId="4968"/>
    <cellStyle name="メモ 29 2 2" xfId="10584"/>
    <cellStyle name="メモ 29 3" xfId="9275"/>
    <cellStyle name="メモ 3" xfId="828"/>
    <cellStyle name="メモ 3 10" xfId="829"/>
    <cellStyle name="メモ 3 10 2" xfId="830"/>
    <cellStyle name="メモ 3 10 2 2" xfId="831"/>
    <cellStyle name="メモ 3 10 2 2 2" xfId="3464"/>
    <cellStyle name="メモ 3 10 2 2 2 2" xfId="5737"/>
    <cellStyle name="メモ 3 10 2 2 2 2 2" xfId="8443"/>
    <cellStyle name="メモ 3 10 2 2 2 3" xfId="7476"/>
    <cellStyle name="メモ 3 10 2 2 3" xfId="3296"/>
    <cellStyle name="メモ 3 10 2 2 3 2" xfId="5569"/>
    <cellStyle name="メモ 3 10 2 2 3 2 2" xfId="8324"/>
    <cellStyle name="メモ 3 10 2 2 3 3" xfId="7357"/>
    <cellStyle name="メモ 3 10 2 2 4" xfId="3688"/>
    <cellStyle name="メモ 3 10 2 2 4 2" xfId="5961"/>
    <cellStyle name="メモ 3 10 2 2 4 2 2" xfId="8581"/>
    <cellStyle name="メモ 3 10 2 2 4 3" xfId="7614"/>
    <cellStyle name="メモ 3 10 2 2 5" xfId="3889"/>
    <cellStyle name="メモ 3 10 2 2 5 2" xfId="6162"/>
    <cellStyle name="メモ 3 10 2 2 5 2 2" xfId="8780"/>
    <cellStyle name="メモ 3 10 2 2 5 3" xfId="7813"/>
    <cellStyle name="メモ 3 10 2 2 6" xfId="3811"/>
    <cellStyle name="メモ 3 10 2 2 6 2" xfId="6084"/>
    <cellStyle name="メモ 3 10 2 2 6 2 2" xfId="8702"/>
    <cellStyle name="メモ 3 10 2 2 6 3" xfId="7735"/>
    <cellStyle name="メモ 3 10 2 2 7" xfId="4643"/>
    <cellStyle name="メモ 3 10 2 2 7 2" xfId="8038"/>
    <cellStyle name="メモ 3 10 2 2 8" xfId="7071"/>
    <cellStyle name="メモ 3 10 2 3" xfId="3265"/>
    <cellStyle name="メモ 3 10 2 3 2" xfId="5538"/>
    <cellStyle name="メモ 3 10 2 3 2 2" xfId="8300"/>
    <cellStyle name="メモ 3 10 2 3 3" xfId="7333"/>
    <cellStyle name="メモ 3 10 2 4" xfId="2269"/>
    <cellStyle name="メモ 3 10 2 4 2" xfId="6934"/>
    <cellStyle name="メモ 3 10 2 5" xfId="2041"/>
    <cellStyle name="メモ 3 10 3" xfId="832"/>
    <cellStyle name="メモ 3 10 3 2" xfId="3463"/>
    <cellStyle name="メモ 3 10 3 2 2" xfId="5736"/>
    <cellStyle name="メモ 3 10 3 2 2 2" xfId="8442"/>
    <cellStyle name="メモ 3 10 3 2 3" xfId="7475"/>
    <cellStyle name="メモ 3 10 3 3" xfId="3287"/>
    <cellStyle name="メモ 3 10 3 3 2" xfId="5560"/>
    <cellStyle name="メモ 3 10 3 3 2 2" xfId="8315"/>
    <cellStyle name="メモ 3 10 3 3 3" xfId="7348"/>
    <cellStyle name="メモ 3 10 3 4" xfId="3687"/>
    <cellStyle name="メモ 3 10 3 4 2" xfId="5960"/>
    <cellStyle name="メモ 3 10 3 4 2 2" xfId="8580"/>
    <cellStyle name="メモ 3 10 3 4 3" xfId="7613"/>
    <cellStyle name="メモ 3 10 3 5" xfId="3882"/>
    <cellStyle name="メモ 3 10 3 5 2" xfId="6155"/>
    <cellStyle name="メモ 3 10 3 5 2 2" xfId="8773"/>
    <cellStyle name="メモ 3 10 3 5 3" xfId="7806"/>
    <cellStyle name="メモ 3 10 3 6" xfId="4185"/>
    <cellStyle name="メモ 3 10 3 6 2" xfId="6458"/>
    <cellStyle name="メモ 3 10 3 6 2 2" xfId="8904"/>
    <cellStyle name="メモ 3 10 3 6 3" xfId="7937"/>
    <cellStyle name="メモ 3 10 3 7" xfId="4642"/>
    <cellStyle name="メモ 3 10 3 7 2" xfId="8037"/>
    <cellStyle name="メモ 3 10 3 8" xfId="7070"/>
    <cellStyle name="メモ 3 10 4" xfId="3125"/>
    <cellStyle name="メモ 3 10 4 2" xfId="5398"/>
    <cellStyle name="メモ 3 10 4 2 2" xfId="8190"/>
    <cellStyle name="メモ 3 10 4 3" xfId="7223"/>
    <cellStyle name="メモ 3 10 5" xfId="2268"/>
    <cellStyle name="メモ 3 10 5 2" xfId="6933"/>
    <cellStyle name="メモ 3 10 6" xfId="2040"/>
    <cellStyle name="メモ 3 11" xfId="833"/>
    <cellStyle name="メモ 3 11 2" xfId="3462"/>
    <cellStyle name="メモ 3 11 2 2" xfId="5735"/>
    <cellStyle name="メモ 3 11 2 2 2" xfId="8441"/>
    <cellStyle name="メモ 3 11 2 3" xfId="7474"/>
    <cellStyle name="メモ 3 11 3" xfId="3286"/>
    <cellStyle name="メモ 3 11 3 2" xfId="5559"/>
    <cellStyle name="メモ 3 11 3 2 2" xfId="8314"/>
    <cellStyle name="メモ 3 11 3 3" xfId="7347"/>
    <cellStyle name="メモ 3 11 4" xfId="3686"/>
    <cellStyle name="メモ 3 11 4 2" xfId="5959"/>
    <cellStyle name="メモ 3 11 4 2 2" xfId="8579"/>
    <cellStyle name="メモ 3 11 4 3" xfId="7612"/>
    <cellStyle name="メモ 3 11 5" xfId="3793"/>
    <cellStyle name="メモ 3 11 5 2" xfId="6066"/>
    <cellStyle name="メモ 3 11 5 2 2" xfId="8684"/>
    <cellStyle name="メモ 3 11 5 3" xfId="7717"/>
    <cellStyle name="メモ 3 11 6" xfId="4006"/>
    <cellStyle name="メモ 3 11 6 2" xfId="6279"/>
    <cellStyle name="メモ 3 11 6 2 2" xfId="8867"/>
    <cellStyle name="メモ 3 11 6 3" xfId="7900"/>
    <cellStyle name="メモ 3 11 7" xfId="4641"/>
    <cellStyle name="メモ 3 11 7 2" xfId="8036"/>
    <cellStyle name="メモ 3 11 8" xfId="7069"/>
    <cellStyle name="メモ 3 12" xfId="3124"/>
    <cellStyle name="メモ 3 12 2" xfId="5397"/>
    <cellStyle name="メモ 3 12 2 2" xfId="8189"/>
    <cellStyle name="メモ 3 12 3" xfId="7222"/>
    <cellStyle name="メモ 3 13" xfId="2267"/>
    <cellStyle name="メモ 3 13 2" xfId="6932"/>
    <cellStyle name="メモ 3 14" xfId="2039"/>
    <cellStyle name="メモ 3 2" xfId="834"/>
    <cellStyle name="メモ 3 2 2" xfId="835"/>
    <cellStyle name="メモ 3 2 2 2" xfId="3465"/>
    <cellStyle name="メモ 3 2 2 2 2" xfId="5738"/>
    <cellStyle name="メモ 3 2 2 2 2 2" xfId="8444"/>
    <cellStyle name="メモ 3 2 2 2 3" xfId="7477"/>
    <cellStyle name="メモ 3 2 2 3" xfId="3289"/>
    <cellStyle name="メモ 3 2 2 3 2" xfId="5562"/>
    <cellStyle name="メモ 3 2 2 3 2 2" xfId="8317"/>
    <cellStyle name="メモ 3 2 2 3 3" xfId="7350"/>
    <cellStyle name="メモ 3 2 2 4" xfId="3689"/>
    <cellStyle name="メモ 3 2 2 4 2" xfId="5962"/>
    <cellStyle name="メモ 3 2 2 4 2 2" xfId="8582"/>
    <cellStyle name="メモ 3 2 2 4 3" xfId="7615"/>
    <cellStyle name="メモ 3 2 2 5" xfId="3883"/>
    <cellStyle name="メモ 3 2 2 5 2" xfId="6156"/>
    <cellStyle name="メモ 3 2 2 5 2 2" xfId="8774"/>
    <cellStyle name="メモ 3 2 2 5 3" xfId="7807"/>
    <cellStyle name="メモ 3 2 2 6" xfId="4186"/>
    <cellStyle name="メモ 3 2 2 6 2" xfId="6459"/>
    <cellStyle name="メモ 3 2 2 6 2 2" xfId="8905"/>
    <cellStyle name="メモ 3 2 2 6 3" xfId="7938"/>
    <cellStyle name="メモ 3 2 2 7" xfId="4644"/>
    <cellStyle name="メモ 3 2 2 7 2" xfId="8039"/>
    <cellStyle name="メモ 3 2 2 8" xfId="7072"/>
    <cellStyle name="メモ 3 2 3" xfId="3126"/>
    <cellStyle name="メモ 3 2 3 2" xfId="5399"/>
    <cellStyle name="メモ 3 2 3 2 2" xfId="8191"/>
    <cellStyle name="メモ 3 2 3 3" xfId="7224"/>
    <cellStyle name="メモ 3 2 4" xfId="2270"/>
    <cellStyle name="メモ 3 2 4 2" xfId="6935"/>
    <cellStyle name="メモ 3 2 5" xfId="2042"/>
    <cellStyle name="メモ 3 3" xfId="836"/>
    <cellStyle name="メモ 3 3 2" xfId="837"/>
    <cellStyle name="メモ 3 3 2 2" xfId="3466"/>
    <cellStyle name="メモ 3 3 2 2 2" xfId="5739"/>
    <cellStyle name="メモ 3 3 2 2 2 2" xfId="8445"/>
    <cellStyle name="メモ 3 3 2 2 3" xfId="7478"/>
    <cellStyle name="メモ 3 3 2 3" xfId="3290"/>
    <cellStyle name="メモ 3 3 2 3 2" xfId="5563"/>
    <cellStyle name="メモ 3 3 2 3 2 2" xfId="8318"/>
    <cellStyle name="メモ 3 3 2 3 3" xfId="7351"/>
    <cellStyle name="メモ 3 3 2 4" xfId="3690"/>
    <cellStyle name="メモ 3 3 2 4 2" xfId="5963"/>
    <cellStyle name="メモ 3 3 2 4 2 2" xfId="8583"/>
    <cellStyle name="メモ 3 3 2 4 3" xfId="7616"/>
    <cellStyle name="メモ 3 3 2 5" xfId="3884"/>
    <cellStyle name="メモ 3 3 2 5 2" xfId="6157"/>
    <cellStyle name="メモ 3 3 2 5 2 2" xfId="8775"/>
    <cellStyle name="メモ 3 3 2 5 3" xfId="7808"/>
    <cellStyle name="メモ 3 3 2 6" xfId="3928"/>
    <cellStyle name="メモ 3 3 2 6 2" xfId="6201"/>
    <cellStyle name="メモ 3 3 2 6 2 2" xfId="8819"/>
    <cellStyle name="メモ 3 3 2 6 3" xfId="7852"/>
    <cellStyle name="メモ 3 3 2 7" xfId="4645"/>
    <cellStyle name="メモ 3 3 2 7 2" xfId="8040"/>
    <cellStyle name="メモ 3 3 2 8" xfId="7073"/>
    <cellStyle name="メモ 3 3 3" xfId="3127"/>
    <cellStyle name="メモ 3 3 3 2" xfId="5400"/>
    <cellStyle name="メモ 3 3 3 2 2" xfId="8192"/>
    <cellStyle name="メモ 3 3 3 3" xfId="7225"/>
    <cellStyle name="メモ 3 3 4" xfId="2271"/>
    <cellStyle name="メモ 3 3 4 2" xfId="6936"/>
    <cellStyle name="メモ 3 3 5" xfId="2043"/>
    <cellStyle name="メモ 3 4" xfId="838"/>
    <cellStyle name="メモ 3 4 2" xfId="839"/>
    <cellStyle name="メモ 3 4 2 2" xfId="3467"/>
    <cellStyle name="メモ 3 4 2 2 2" xfId="5740"/>
    <cellStyle name="メモ 3 4 2 2 2 2" xfId="8446"/>
    <cellStyle name="メモ 3 4 2 2 3" xfId="7479"/>
    <cellStyle name="メモ 3 4 2 3" xfId="3291"/>
    <cellStyle name="メモ 3 4 2 3 2" xfId="5564"/>
    <cellStyle name="メモ 3 4 2 3 2 2" xfId="8319"/>
    <cellStyle name="メモ 3 4 2 3 3" xfId="7352"/>
    <cellStyle name="メモ 3 4 2 4" xfId="3691"/>
    <cellStyle name="メモ 3 4 2 4 2" xfId="5964"/>
    <cellStyle name="メモ 3 4 2 4 2 2" xfId="8584"/>
    <cellStyle name="メモ 3 4 2 4 3" xfId="7617"/>
    <cellStyle name="メモ 3 4 2 5" xfId="3795"/>
    <cellStyle name="メモ 3 4 2 5 2" xfId="6068"/>
    <cellStyle name="メモ 3 4 2 5 2 2" xfId="8686"/>
    <cellStyle name="メモ 3 4 2 5 3" xfId="7719"/>
    <cellStyle name="メモ 3 4 2 6" xfId="4198"/>
    <cellStyle name="メモ 3 4 2 6 2" xfId="6471"/>
    <cellStyle name="メモ 3 4 2 6 2 2" xfId="8917"/>
    <cellStyle name="メモ 3 4 2 6 3" xfId="7950"/>
    <cellStyle name="メモ 3 4 2 7" xfId="4646"/>
    <cellStyle name="メモ 3 4 2 7 2" xfId="8041"/>
    <cellStyle name="メモ 3 4 2 8" xfId="7074"/>
    <cellStyle name="メモ 3 4 3" xfId="3128"/>
    <cellStyle name="メモ 3 4 3 2" xfId="5401"/>
    <cellStyle name="メモ 3 4 3 2 2" xfId="8193"/>
    <cellStyle name="メモ 3 4 3 3" xfId="7226"/>
    <cellStyle name="メモ 3 4 4" xfId="2272"/>
    <cellStyle name="メモ 3 4 4 2" xfId="6937"/>
    <cellStyle name="メモ 3 4 5" xfId="2044"/>
    <cellStyle name="メモ 3 5" xfId="840"/>
    <cellStyle name="メモ 3 5 2" xfId="841"/>
    <cellStyle name="メモ 3 5 2 2" xfId="3468"/>
    <cellStyle name="メモ 3 5 2 2 2" xfId="5741"/>
    <cellStyle name="メモ 3 5 2 2 2 2" xfId="8447"/>
    <cellStyle name="メモ 3 5 2 2 3" xfId="7480"/>
    <cellStyle name="メモ 3 5 2 3" xfId="3292"/>
    <cellStyle name="メモ 3 5 2 3 2" xfId="5565"/>
    <cellStyle name="メモ 3 5 2 3 2 2" xfId="8320"/>
    <cellStyle name="メモ 3 5 2 3 3" xfId="7353"/>
    <cellStyle name="メモ 3 5 2 4" xfId="3692"/>
    <cellStyle name="メモ 3 5 2 4 2" xfId="5965"/>
    <cellStyle name="メモ 3 5 2 4 2 2" xfId="8585"/>
    <cellStyle name="メモ 3 5 2 4 3" xfId="7618"/>
    <cellStyle name="メモ 3 5 2 5" xfId="3885"/>
    <cellStyle name="メモ 3 5 2 5 2" xfId="6158"/>
    <cellStyle name="メモ 3 5 2 5 2 2" xfId="8776"/>
    <cellStyle name="メモ 3 5 2 5 3" xfId="7809"/>
    <cellStyle name="メモ 3 5 2 6" xfId="4008"/>
    <cellStyle name="メモ 3 5 2 6 2" xfId="6281"/>
    <cellStyle name="メモ 3 5 2 6 2 2" xfId="8869"/>
    <cellStyle name="メモ 3 5 2 6 3" xfId="7902"/>
    <cellStyle name="メモ 3 5 2 7" xfId="4647"/>
    <cellStyle name="メモ 3 5 2 7 2" xfId="8042"/>
    <cellStyle name="メモ 3 5 2 8" xfId="7075"/>
    <cellStyle name="メモ 3 5 3" xfId="3055"/>
    <cellStyle name="メモ 3 5 3 2" xfId="5328"/>
    <cellStyle name="メモ 3 5 3 2 2" xfId="8120"/>
    <cellStyle name="メモ 3 5 3 3" xfId="7153"/>
    <cellStyle name="メモ 3 5 4" xfId="2273"/>
    <cellStyle name="メモ 3 5 4 2" xfId="6938"/>
    <cellStyle name="メモ 3 5 5" xfId="2045"/>
    <cellStyle name="メモ 3 6" xfId="842"/>
    <cellStyle name="メモ 3 6 2" xfId="843"/>
    <cellStyle name="メモ 3 6 2 2" xfId="3469"/>
    <cellStyle name="メモ 3 6 2 2 2" xfId="5742"/>
    <cellStyle name="メモ 3 6 2 2 2 2" xfId="8448"/>
    <cellStyle name="メモ 3 6 2 2 3" xfId="7481"/>
    <cellStyle name="メモ 3 6 2 3" xfId="3293"/>
    <cellStyle name="メモ 3 6 2 3 2" xfId="5566"/>
    <cellStyle name="メモ 3 6 2 3 2 2" xfId="8321"/>
    <cellStyle name="メモ 3 6 2 3 3" xfId="7354"/>
    <cellStyle name="メモ 3 6 2 4" xfId="3693"/>
    <cellStyle name="メモ 3 6 2 4 2" xfId="5966"/>
    <cellStyle name="メモ 3 6 2 4 2 2" xfId="8586"/>
    <cellStyle name="メモ 3 6 2 4 3" xfId="7619"/>
    <cellStyle name="メモ 3 6 2 5" xfId="3886"/>
    <cellStyle name="メモ 3 6 2 5 2" xfId="6159"/>
    <cellStyle name="メモ 3 6 2 5 2 2" xfId="8777"/>
    <cellStyle name="メモ 3 6 2 5 3" xfId="7810"/>
    <cellStyle name="メモ 3 6 2 6" xfId="3807"/>
    <cellStyle name="メモ 3 6 2 6 2" xfId="6080"/>
    <cellStyle name="メモ 3 6 2 6 2 2" xfId="8698"/>
    <cellStyle name="メモ 3 6 2 6 3" xfId="7731"/>
    <cellStyle name="メモ 3 6 2 7" xfId="4648"/>
    <cellStyle name="メモ 3 6 2 7 2" xfId="8043"/>
    <cellStyle name="メモ 3 6 2 8" xfId="7076"/>
    <cellStyle name="メモ 3 6 3" xfId="3056"/>
    <cellStyle name="メモ 3 6 3 2" xfId="5329"/>
    <cellStyle name="メモ 3 6 3 2 2" xfId="8121"/>
    <cellStyle name="メモ 3 6 3 3" xfId="7154"/>
    <cellStyle name="メモ 3 6 4" xfId="2274"/>
    <cellStyle name="メモ 3 6 4 2" xfId="6939"/>
    <cellStyle name="メモ 3 6 5" xfId="2046"/>
    <cellStyle name="メモ 3 7" xfId="844"/>
    <cellStyle name="メモ 3 7 2" xfId="845"/>
    <cellStyle name="メモ 3 7 2 2" xfId="3470"/>
    <cellStyle name="メモ 3 7 2 2 2" xfId="5743"/>
    <cellStyle name="メモ 3 7 2 2 2 2" xfId="8449"/>
    <cellStyle name="メモ 3 7 2 2 3" xfId="7482"/>
    <cellStyle name="メモ 3 7 2 3" xfId="3294"/>
    <cellStyle name="メモ 3 7 2 3 2" xfId="5567"/>
    <cellStyle name="メモ 3 7 2 3 2 2" xfId="8322"/>
    <cellStyle name="メモ 3 7 2 3 3" xfId="7355"/>
    <cellStyle name="メモ 3 7 2 4" xfId="3694"/>
    <cellStyle name="メモ 3 7 2 4 2" xfId="5967"/>
    <cellStyle name="メモ 3 7 2 4 2 2" xfId="8587"/>
    <cellStyle name="メモ 3 7 2 4 3" xfId="7620"/>
    <cellStyle name="メモ 3 7 2 5" xfId="3887"/>
    <cellStyle name="メモ 3 7 2 5 2" xfId="6160"/>
    <cellStyle name="メモ 3 7 2 5 2 2" xfId="8778"/>
    <cellStyle name="メモ 3 7 2 5 3" xfId="7811"/>
    <cellStyle name="メモ 3 7 2 6" xfId="3764"/>
    <cellStyle name="メモ 3 7 2 6 2" xfId="6037"/>
    <cellStyle name="メモ 3 7 2 6 2 2" xfId="8655"/>
    <cellStyle name="メモ 3 7 2 6 3" xfId="7688"/>
    <cellStyle name="メモ 3 7 2 7" xfId="4649"/>
    <cellStyle name="メモ 3 7 2 7 2" xfId="8044"/>
    <cellStyle name="メモ 3 7 2 8" xfId="7077"/>
    <cellStyle name="メモ 3 7 3" xfId="3129"/>
    <cellStyle name="メモ 3 7 3 2" xfId="5402"/>
    <cellStyle name="メモ 3 7 3 2 2" xfId="8194"/>
    <cellStyle name="メモ 3 7 3 3" xfId="7227"/>
    <cellStyle name="メモ 3 7 4" xfId="2275"/>
    <cellStyle name="メモ 3 7 4 2" xfId="6940"/>
    <cellStyle name="メモ 3 7 5" xfId="2047"/>
    <cellStyle name="メモ 3 8" xfId="846"/>
    <cellStyle name="メモ 3 8 2" xfId="847"/>
    <cellStyle name="メモ 3 8 2 2" xfId="3471"/>
    <cellStyle name="メモ 3 8 2 2 2" xfId="5744"/>
    <cellStyle name="メモ 3 8 2 2 2 2" xfId="8450"/>
    <cellStyle name="メモ 3 8 2 2 3" xfId="7483"/>
    <cellStyle name="メモ 3 8 2 3" xfId="3295"/>
    <cellStyle name="メモ 3 8 2 3 2" xfId="5568"/>
    <cellStyle name="メモ 3 8 2 3 2 2" xfId="8323"/>
    <cellStyle name="メモ 3 8 2 3 3" xfId="7356"/>
    <cellStyle name="メモ 3 8 2 4" xfId="3695"/>
    <cellStyle name="メモ 3 8 2 4 2" xfId="5968"/>
    <cellStyle name="メモ 3 8 2 4 2 2" xfId="8588"/>
    <cellStyle name="メモ 3 8 2 4 3" xfId="7621"/>
    <cellStyle name="メモ 3 8 2 5" xfId="3888"/>
    <cellStyle name="メモ 3 8 2 5 2" xfId="6161"/>
    <cellStyle name="メモ 3 8 2 5 2 2" xfId="8779"/>
    <cellStyle name="メモ 3 8 2 5 3" xfId="7812"/>
    <cellStyle name="メモ 3 8 2 6" xfId="3802"/>
    <cellStyle name="メモ 3 8 2 6 2" xfId="6075"/>
    <cellStyle name="メモ 3 8 2 6 2 2" xfId="8693"/>
    <cellStyle name="メモ 3 8 2 6 3" xfId="7726"/>
    <cellStyle name="メモ 3 8 2 7" xfId="4650"/>
    <cellStyle name="メモ 3 8 2 7 2" xfId="8045"/>
    <cellStyle name="メモ 3 8 2 8" xfId="7078"/>
    <cellStyle name="メモ 3 8 3" xfId="3233"/>
    <cellStyle name="メモ 3 8 3 2" xfId="5506"/>
    <cellStyle name="メモ 3 8 3 2 2" xfId="8296"/>
    <cellStyle name="メモ 3 8 3 3" xfId="7329"/>
    <cellStyle name="メモ 3 8 4" xfId="2276"/>
    <cellStyle name="メモ 3 8 4 2" xfId="6941"/>
    <cellStyle name="メモ 3 8 5" xfId="2048"/>
    <cellStyle name="メモ 3 9" xfId="848"/>
    <cellStyle name="メモ 3 9 2" xfId="849"/>
    <cellStyle name="メモ 3 9 2 2" xfId="3472"/>
    <cellStyle name="メモ 3 9 2 2 2" xfId="5745"/>
    <cellStyle name="メモ 3 9 2 2 2 2" xfId="8451"/>
    <cellStyle name="メモ 3 9 2 2 3" xfId="7484"/>
    <cellStyle name="メモ 3 9 2 3" xfId="3306"/>
    <cellStyle name="メモ 3 9 2 3 2" xfId="5579"/>
    <cellStyle name="メモ 3 9 2 3 2 2" xfId="8334"/>
    <cellStyle name="メモ 3 9 2 3 3" xfId="7367"/>
    <cellStyle name="メモ 3 9 2 4" xfId="3696"/>
    <cellStyle name="メモ 3 9 2 4 2" xfId="5969"/>
    <cellStyle name="メモ 3 9 2 4 2 2" xfId="8589"/>
    <cellStyle name="メモ 3 9 2 4 3" xfId="7622"/>
    <cellStyle name="メモ 3 9 2 5" xfId="3796"/>
    <cellStyle name="メモ 3 9 2 5 2" xfId="6069"/>
    <cellStyle name="メモ 3 9 2 5 2 2" xfId="8687"/>
    <cellStyle name="メモ 3 9 2 5 3" xfId="7720"/>
    <cellStyle name="メモ 3 9 2 6" xfId="3915"/>
    <cellStyle name="メモ 3 9 2 6 2" xfId="6188"/>
    <cellStyle name="メモ 3 9 2 6 2 2" xfId="8806"/>
    <cellStyle name="メモ 3 9 2 6 3" xfId="7839"/>
    <cellStyle name="メモ 3 9 2 7" xfId="4651"/>
    <cellStyle name="メモ 3 9 2 7 2" xfId="8046"/>
    <cellStyle name="メモ 3 9 2 8" xfId="7079"/>
    <cellStyle name="メモ 3 9 3" xfId="3131"/>
    <cellStyle name="メモ 3 9 3 2" xfId="5404"/>
    <cellStyle name="メモ 3 9 3 2 2" xfId="8196"/>
    <cellStyle name="メモ 3 9 3 3" xfId="7229"/>
    <cellStyle name="メモ 3 9 4" xfId="2277"/>
    <cellStyle name="メモ 3 9 4 2" xfId="6942"/>
    <cellStyle name="メモ 3 9 5" xfId="2049"/>
    <cellStyle name="メモ 30" xfId="2785"/>
    <cellStyle name="メモ 30 2" xfId="5058"/>
    <cellStyle name="メモ 30 2 2" xfId="10673"/>
    <cellStyle name="メモ 30 3" xfId="9364"/>
    <cellStyle name="メモ 31" xfId="4202"/>
    <cellStyle name="メモ 31 2" xfId="6475"/>
    <cellStyle name="メモ 31 2 2" xfId="11284"/>
    <cellStyle name="メモ 31 3" xfId="9975"/>
    <cellStyle name="メモ 32" xfId="4296"/>
    <cellStyle name="メモ 32 2" xfId="6569"/>
    <cellStyle name="メモ 32 2 2" xfId="11373"/>
    <cellStyle name="メモ 32 3" xfId="10064"/>
    <cellStyle name="メモ 33" xfId="4388"/>
    <cellStyle name="メモ 33 2" xfId="6661"/>
    <cellStyle name="メモ 33 2 2" xfId="11462"/>
    <cellStyle name="メモ 33 3" xfId="10153"/>
    <cellStyle name="メモ 34" xfId="4478"/>
    <cellStyle name="メモ 34 2" xfId="10242"/>
    <cellStyle name="メモ 35" xfId="1976"/>
    <cellStyle name="メモ 35 2" xfId="11570"/>
    <cellStyle name="メモ 36" xfId="8931"/>
    <cellStyle name="メモ 4" xfId="850"/>
    <cellStyle name="メモ 4 10" xfId="2278"/>
    <cellStyle name="メモ 4 10 2" xfId="6943"/>
    <cellStyle name="メモ 4 11" xfId="2050"/>
    <cellStyle name="メモ 4 2" xfId="851"/>
    <cellStyle name="メモ 4 2 2" xfId="852"/>
    <cellStyle name="メモ 4 2 2 2" xfId="3474"/>
    <cellStyle name="メモ 4 2 2 2 2" xfId="5747"/>
    <cellStyle name="メモ 4 2 2 2 2 2" xfId="8453"/>
    <cellStyle name="メモ 4 2 2 2 3" xfId="7486"/>
    <cellStyle name="メモ 4 2 2 3" xfId="3298"/>
    <cellStyle name="メモ 4 2 2 3 2" xfId="5571"/>
    <cellStyle name="メモ 4 2 2 3 2 2" xfId="8326"/>
    <cellStyle name="メモ 4 2 2 3 3" xfId="7359"/>
    <cellStyle name="メモ 4 2 2 4" xfId="3698"/>
    <cellStyle name="メモ 4 2 2 4 2" xfId="5971"/>
    <cellStyle name="メモ 4 2 2 4 2 2" xfId="8591"/>
    <cellStyle name="メモ 4 2 2 4 3" xfId="7624"/>
    <cellStyle name="メモ 4 2 2 5" xfId="3797"/>
    <cellStyle name="メモ 4 2 2 5 2" xfId="6070"/>
    <cellStyle name="メモ 4 2 2 5 2 2" xfId="8688"/>
    <cellStyle name="メモ 4 2 2 5 3" xfId="7721"/>
    <cellStyle name="メモ 4 2 2 6" xfId="4195"/>
    <cellStyle name="メモ 4 2 2 6 2" xfId="6468"/>
    <cellStyle name="メモ 4 2 2 6 2 2" xfId="8914"/>
    <cellStyle name="メモ 4 2 2 6 3" xfId="7947"/>
    <cellStyle name="メモ 4 2 2 7" xfId="4653"/>
    <cellStyle name="メモ 4 2 2 7 2" xfId="8048"/>
    <cellStyle name="メモ 4 2 2 8" xfId="7081"/>
    <cellStyle name="メモ 4 2 3" xfId="3133"/>
    <cellStyle name="メモ 4 2 3 2" xfId="5406"/>
    <cellStyle name="メモ 4 2 3 2 2" xfId="8198"/>
    <cellStyle name="メモ 4 2 3 3" xfId="7231"/>
    <cellStyle name="メモ 4 2 4" xfId="2279"/>
    <cellStyle name="メモ 4 2 4 2" xfId="6944"/>
    <cellStyle name="メモ 4 2 5" xfId="2051"/>
    <cellStyle name="メモ 4 3" xfId="853"/>
    <cellStyle name="メモ 4 3 2" xfId="854"/>
    <cellStyle name="メモ 4 3 2 2" xfId="3475"/>
    <cellStyle name="メモ 4 3 2 2 2" xfId="5748"/>
    <cellStyle name="メモ 4 3 2 2 2 2" xfId="8454"/>
    <cellStyle name="メモ 4 3 2 2 3" xfId="7487"/>
    <cellStyle name="メモ 4 3 2 3" xfId="3299"/>
    <cellStyle name="メモ 4 3 2 3 2" xfId="5572"/>
    <cellStyle name="メモ 4 3 2 3 2 2" xfId="8327"/>
    <cellStyle name="メモ 4 3 2 3 3" xfId="7360"/>
    <cellStyle name="メモ 4 3 2 4" xfId="3699"/>
    <cellStyle name="メモ 4 3 2 4 2" xfId="5972"/>
    <cellStyle name="メモ 4 3 2 4 2 2" xfId="8592"/>
    <cellStyle name="メモ 4 3 2 4 3" xfId="7625"/>
    <cellStyle name="メモ 4 3 2 5" xfId="3890"/>
    <cellStyle name="メモ 4 3 2 5 2" xfId="6163"/>
    <cellStyle name="メモ 4 3 2 5 2 2" xfId="8781"/>
    <cellStyle name="メモ 4 3 2 5 3" xfId="7814"/>
    <cellStyle name="メモ 4 3 2 6" xfId="3912"/>
    <cellStyle name="メモ 4 3 2 6 2" xfId="6185"/>
    <cellStyle name="メモ 4 3 2 6 2 2" xfId="8803"/>
    <cellStyle name="メモ 4 3 2 6 3" xfId="7836"/>
    <cellStyle name="メモ 4 3 2 7" xfId="4654"/>
    <cellStyle name="メモ 4 3 2 7 2" xfId="8049"/>
    <cellStyle name="メモ 4 3 2 8" xfId="7082"/>
    <cellStyle name="メモ 4 3 3" xfId="3130"/>
    <cellStyle name="メモ 4 3 3 2" xfId="5403"/>
    <cellStyle name="メモ 4 3 3 2 2" xfId="8195"/>
    <cellStyle name="メモ 4 3 3 3" xfId="7228"/>
    <cellStyle name="メモ 4 3 4" xfId="2280"/>
    <cellStyle name="メモ 4 3 4 2" xfId="6945"/>
    <cellStyle name="メモ 4 3 5" xfId="2052"/>
    <cellStyle name="メモ 4 4" xfId="855"/>
    <cellStyle name="メモ 4 4 2" xfId="856"/>
    <cellStyle name="メモ 4 4 2 2" xfId="3476"/>
    <cellStyle name="メモ 4 4 2 2 2" xfId="5749"/>
    <cellStyle name="メモ 4 4 2 2 2 2" xfId="8455"/>
    <cellStyle name="メモ 4 4 2 2 3" xfId="7488"/>
    <cellStyle name="メモ 4 4 2 3" xfId="3300"/>
    <cellStyle name="メモ 4 4 2 3 2" xfId="5573"/>
    <cellStyle name="メモ 4 4 2 3 2 2" xfId="8328"/>
    <cellStyle name="メモ 4 4 2 3 3" xfId="7361"/>
    <cellStyle name="メモ 4 4 2 4" xfId="3700"/>
    <cellStyle name="メモ 4 4 2 4 2" xfId="5973"/>
    <cellStyle name="メモ 4 4 2 4 2 2" xfId="8593"/>
    <cellStyle name="メモ 4 4 2 4 3" xfId="7626"/>
    <cellStyle name="メモ 4 4 2 5" xfId="3798"/>
    <cellStyle name="メモ 4 4 2 5 2" xfId="6071"/>
    <cellStyle name="メモ 4 4 2 5 2 2" xfId="8689"/>
    <cellStyle name="メモ 4 4 2 5 3" xfId="7722"/>
    <cellStyle name="メモ 4 4 2 6" xfId="3828"/>
    <cellStyle name="メモ 4 4 2 6 2" xfId="6101"/>
    <cellStyle name="メモ 4 4 2 6 2 2" xfId="8719"/>
    <cellStyle name="メモ 4 4 2 6 3" xfId="7752"/>
    <cellStyle name="メモ 4 4 2 7" xfId="4655"/>
    <cellStyle name="メモ 4 4 2 7 2" xfId="8050"/>
    <cellStyle name="メモ 4 4 2 8" xfId="7083"/>
    <cellStyle name="メモ 4 4 3" xfId="3134"/>
    <cellStyle name="メモ 4 4 3 2" xfId="5407"/>
    <cellStyle name="メモ 4 4 3 2 2" xfId="8199"/>
    <cellStyle name="メモ 4 4 3 3" xfId="7232"/>
    <cellStyle name="メモ 4 4 4" xfId="2281"/>
    <cellStyle name="メモ 4 4 4 2" xfId="6946"/>
    <cellStyle name="メモ 4 4 5" xfId="2053"/>
    <cellStyle name="メモ 4 5" xfId="857"/>
    <cellStyle name="メモ 4 5 2" xfId="858"/>
    <cellStyle name="メモ 4 5 2 2" xfId="3477"/>
    <cellStyle name="メモ 4 5 2 2 2" xfId="5750"/>
    <cellStyle name="メモ 4 5 2 2 2 2" xfId="8456"/>
    <cellStyle name="メモ 4 5 2 2 3" xfId="7489"/>
    <cellStyle name="メモ 4 5 2 3" xfId="3301"/>
    <cellStyle name="メモ 4 5 2 3 2" xfId="5574"/>
    <cellStyle name="メモ 4 5 2 3 2 2" xfId="8329"/>
    <cellStyle name="メモ 4 5 2 3 3" xfId="7362"/>
    <cellStyle name="メモ 4 5 2 4" xfId="3701"/>
    <cellStyle name="メモ 4 5 2 4 2" xfId="5974"/>
    <cellStyle name="メモ 4 5 2 4 2 2" xfId="8594"/>
    <cellStyle name="メモ 4 5 2 4 3" xfId="7627"/>
    <cellStyle name="メモ 4 5 2 5" xfId="3891"/>
    <cellStyle name="メモ 4 5 2 5 2" xfId="6164"/>
    <cellStyle name="メモ 4 5 2 5 2 2" xfId="8782"/>
    <cellStyle name="メモ 4 5 2 5 3" xfId="7815"/>
    <cellStyle name="メモ 4 5 2 6" xfId="3916"/>
    <cellStyle name="メモ 4 5 2 6 2" xfId="6189"/>
    <cellStyle name="メモ 4 5 2 6 2 2" xfId="8807"/>
    <cellStyle name="メモ 4 5 2 6 3" xfId="7840"/>
    <cellStyle name="メモ 4 5 2 7" xfId="4656"/>
    <cellStyle name="メモ 4 5 2 7 2" xfId="8051"/>
    <cellStyle name="メモ 4 5 2 8" xfId="7084"/>
    <cellStyle name="メモ 4 5 3" xfId="3135"/>
    <cellStyle name="メモ 4 5 3 2" xfId="5408"/>
    <cellStyle name="メモ 4 5 3 2 2" xfId="8200"/>
    <cellStyle name="メモ 4 5 3 3" xfId="7233"/>
    <cellStyle name="メモ 4 5 4" xfId="2282"/>
    <cellStyle name="メモ 4 5 4 2" xfId="6947"/>
    <cellStyle name="メモ 4 5 5" xfId="2054"/>
    <cellStyle name="メモ 4 6" xfId="859"/>
    <cellStyle name="メモ 4 6 2" xfId="860"/>
    <cellStyle name="メモ 4 6 2 2" xfId="3478"/>
    <cellStyle name="メモ 4 6 2 2 2" xfId="5751"/>
    <cellStyle name="メモ 4 6 2 2 2 2" xfId="8457"/>
    <cellStyle name="メモ 4 6 2 2 3" xfId="7490"/>
    <cellStyle name="メモ 4 6 2 3" xfId="3302"/>
    <cellStyle name="メモ 4 6 2 3 2" xfId="5575"/>
    <cellStyle name="メモ 4 6 2 3 2 2" xfId="8330"/>
    <cellStyle name="メモ 4 6 2 3 3" xfId="7363"/>
    <cellStyle name="メモ 4 6 2 4" xfId="3702"/>
    <cellStyle name="メモ 4 6 2 4 2" xfId="5975"/>
    <cellStyle name="メモ 4 6 2 4 2 2" xfId="8595"/>
    <cellStyle name="メモ 4 6 2 4 3" xfId="7628"/>
    <cellStyle name="メモ 4 6 2 5" xfId="3892"/>
    <cellStyle name="メモ 4 6 2 5 2" xfId="6165"/>
    <cellStyle name="メモ 4 6 2 5 2 2" xfId="8783"/>
    <cellStyle name="メモ 4 6 2 5 3" xfId="7816"/>
    <cellStyle name="メモ 4 6 2 6" xfId="4016"/>
    <cellStyle name="メモ 4 6 2 6 2" xfId="6289"/>
    <cellStyle name="メモ 4 6 2 6 2 2" xfId="8877"/>
    <cellStyle name="メモ 4 6 2 6 3" xfId="7910"/>
    <cellStyle name="メモ 4 6 2 7" xfId="4657"/>
    <cellStyle name="メモ 4 6 2 7 2" xfId="8052"/>
    <cellStyle name="メモ 4 6 2 8" xfId="7085"/>
    <cellStyle name="メモ 4 6 3" xfId="3136"/>
    <cellStyle name="メモ 4 6 3 2" xfId="5409"/>
    <cellStyle name="メモ 4 6 3 2 2" xfId="8201"/>
    <cellStyle name="メモ 4 6 3 3" xfId="7234"/>
    <cellStyle name="メモ 4 6 4" xfId="2283"/>
    <cellStyle name="メモ 4 6 4 2" xfId="6948"/>
    <cellStyle name="メモ 4 6 5" xfId="2055"/>
    <cellStyle name="メモ 4 7" xfId="861"/>
    <cellStyle name="メモ 4 7 2" xfId="862"/>
    <cellStyle name="メモ 4 7 2 2" xfId="3479"/>
    <cellStyle name="メモ 4 7 2 2 2" xfId="5752"/>
    <cellStyle name="メモ 4 7 2 2 2 2" xfId="8458"/>
    <cellStyle name="メモ 4 7 2 2 3" xfId="7491"/>
    <cellStyle name="メモ 4 7 2 3" xfId="3303"/>
    <cellStyle name="メモ 4 7 2 3 2" xfId="5576"/>
    <cellStyle name="メモ 4 7 2 3 2 2" xfId="8331"/>
    <cellStyle name="メモ 4 7 2 3 3" xfId="7364"/>
    <cellStyle name="メモ 4 7 2 4" xfId="3703"/>
    <cellStyle name="メモ 4 7 2 4 2" xfId="5976"/>
    <cellStyle name="メモ 4 7 2 4 2 2" xfId="8596"/>
    <cellStyle name="メモ 4 7 2 4 3" xfId="7629"/>
    <cellStyle name="メモ 4 7 2 5" xfId="3799"/>
    <cellStyle name="メモ 4 7 2 5 2" xfId="6072"/>
    <cellStyle name="メモ 4 7 2 5 2 2" xfId="8690"/>
    <cellStyle name="メモ 4 7 2 5 3" xfId="7723"/>
    <cellStyle name="メモ 4 7 2 6" xfId="3946"/>
    <cellStyle name="メモ 4 7 2 6 2" xfId="6219"/>
    <cellStyle name="メモ 4 7 2 6 2 2" xfId="8837"/>
    <cellStyle name="メモ 4 7 2 6 3" xfId="7870"/>
    <cellStyle name="メモ 4 7 2 7" xfId="4658"/>
    <cellStyle name="メモ 4 7 2 7 2" xfId="8053"/>
    <cellStyle name="メモ 4 7 2 8" xfId="7086"/>
    <cellStyle name="メモ 4 7 3" xfId="3137"/>
    <cellStyle name="メモ 4 7 3 2" xfId="5410"/>
    <cellStyle name="メモ 4 7 3 2 2" xfId="8202"/>
    <cellStyle name="メモ 4 7 3 3" xfId="7235"/>
    <cellStyle name="メモ 4 7 4" xfId="2284"/>
    <cellStyle name="メモ 4 7 4 2" xfId="6949"/>
    <cellStyle name="メモ 4 7 5" xfId="2056"/>
    <cellStyle name="メモ 4 8" xfId="863"/>
    <cellStyle name="メモ 4 8 2" xfId="3473"/>
    <cellStyle name="メモ 4 8 2 2" xfId="5746"/>
    <cellStyle name="メモ 4 8 2 2 2" xfId="8452"/>
    <cellStyle name="メモ 4 8 2 3" xfId="7485"/>
    <cellStyle name="メモ 4 8 3" xfId="3297"/>
    <cellStyle name="メモ 4 8 3 2" xfId="5570"/>
    <cellStyle name="メモ 4 8 3 2 2" xfId="8325"/>
    <cellStyle name="メモ 4 8 3 3" xfId="7358"/>
    <cellStyle name="メモ 4 8 4" xfId="3697"/>
    <cellStyle name="メモ 4 8 4 2" xfId="5970"/>
    <cellStyle name="メモ 4 8 4 2 2" xfId="8590"/>
    <cellStyle name="メモ 4 8 4 3" xfId="7623"/>
    <cellStyle name="メモ 4 8 5" xfId="3894"/>
    <cellStyle name="メモ 4 8 5 2" xfId="6167"/>
    <cellStyle name="メモ 4 8 5 2 2" xfId="8785"/>
    <cellStyle name="メモ 4 8 5 3" xfId="7818"/>
    <cellStyle name="メモ 4 8 6" xfId="4017"/>
    <cellStyle name="メモ 4 8 6 2" xfId="6290"/>
    <cellStyle name="メモ 4 8 6 2 2" xfId="8878"/>
    <cellStyle name="メモ 4 8 6 3" xfId="7911"/>
    <cellStyle name="メモ 4 8 7" xfId="4652"/>
    <cellStyle name="メモ 4 8 7 2" xfId="8047"/>
    <cellStyle name="メモ 4 8 8" xfId="7080"/>
    <cellStyle name="メモ 4 9" xfId="3132"/>
    <cellStyle name="メモ 4 9 2" xfId="5405"/>
    <cellStyle name="メモ 4 9 2 2" xfId="8197"/>
    <cellStyle name="メモ 4 9 3" xfId="7230"/>
    <cellStyle name="メモ 5" xfId="864"/>
    <cellStyle name="メモ 5 10" xfId="2285"/>
    <cellStyle name="メモ 5 10 2" xfId="6950"/>
    <cellStyle name="メモ 5 11" xfId="2057"/>
    <cellStyle name="メモ 5 2" xfId="865"/>
    <cellStyle name="メモ 5 2 2" xfId="866"/>
    <cellStyle name="メモ 5 2 2 2" xfId="3481"/>
    <cellStyle name="メモ 5 2 2 2 2" xfId="5754"/>
    <cellStyle name="メモ 5 2 2 2 2 2" xfId="8460"/>
    <cellStyle name="メモ 5 2 2 2 3" xfId="7493"/>
    <cellStyle name="メモ 5 2 2 3" xfId="3305"/>
    <cellStyle name="メモ 5 2 2 3 2" xfId="5578"/>
    <cellStyle name="メモ 5 2 2 3 2 2" xfId="8333"/>
    <cellStyle name="メモ 5 2 2 3 3" xfId="7366"/>
    <cellStyle name="メモ 5 2 2 4" xfId="3705"/>
    <cellStyle name="メモ 5 2 2 4 2" xfId="5978"/>
    <cellStyle name="メモ 5 2 2 4 2 2" xfId="8598"/>
    <cellStyle name="メモ 5 2 2 4 3" xfId="7631"/>
    <cellStyle name="メモ 5 2 2 5" xfId="3858"/>
    <cellStyle name="メモ 5 2 2 5 2" xfId="6131"/>
    <cellStyle name="メモ 5 2 2 5 2 2" xfId="8749"/>
    <cellStyle name="メモ 5 2 2 5 3" xfId="7782"/>
    <cellStyle name="メモ 5 2 2 6" xfId="4015"/>
    <cellStyle name="メモ 5 2 2 6 2" xfId="6288"/>
    <cellStyle name="メモ 5 2 2 6 2 2" xfId="8876"/>
    <cellStyle name="メモ 5 2 2 6 3" xfId="7909"/>
    <cellStyle name="メモ 5 2 2 7" xfId="4660"/>
    <cellStyle name="メモ 5 2 2 7 2" xfId="8055"/>
    <cellStyle name="メモ 5 2 2 8" xfId="7088"/>
    <cellStyle name="メモ 5 2 3" xfId="3138"/>
    <cellStyle name="メモ 5 2 3 2" xfId="5411"/>
    <cellStyle name="メモ 5 2 3 2 2" xfId="8203"/>
    <cellStyle name="メモ 5 2 3 3" xfId="7236"/>
    <cellStyle name="メモ 5 2 4" xfId="2286"/>
    <cellStyle name="メモ 5 2 4 2" xfId="6951"/>
    <cellStyle name="メモ 5 2 5" xfId="2058"/>
    <cellStyle name="メモ 5 3" xfId="867"/>
    <cellStyle name="メモ 5 3 2" xfId="868"/>
    <cellStyle name="メモ 5 3 2 2" xfId="3482"/>
    <cellStyle name="メモ 5 3 2 2 2" xfId="5755"/>
    <cellStyle name="メモ 5 3 2 2 2 2" xfId="8461"/>
    <cellStyle name="メモ 5 3 2 2 3" xfId="7494"/>
    <cellStyle name="メモ 5 3 2 3" xfId="3221"/>
    <cellStyle name="メモ 5 3 2 3 2" xfId="5494"/>
    <cellStyle name="メモ 5 3 2 3 2 2" xfId="8286"/>
    <cellStyle name="メモ 5 3 2 3 3" xfId="7319"/>
    <cellStyle name="メモ 5 3 2 4" xfId="3706"/>
    <cellStyle name="メモ 5 3 2 4 2" xfId="5979"/>
    <cellStyle name="メモ 5 3 2 4 2 2" xfId="8599"/>
    <cellStyle name="メモ 5 3 2 4 3" xfId="7632"/>
    <cellStyle name="メモ 5 3 2 5" xfId="3895"/>
    <cellStyle name="メモ 5 3 2 5 2" xfId="6168"/>
    <cellStyle name="メモ 5 3 2 5 2 2" xfId="8786"/>
    <cellStyle name="メモ 5 3 2 5 3" xfId="7819"/>
    <cellStyle name="メモ 5 3 2 6" xfId="3917"/>
    <cellStyle name="メモ 5 3 2 6 2" xfId="6190"/>
    <cellStyle name="メモ 5 3 2 6 2 2" xfId="8808"/>
    <cellStyle name="メモ 5 3 2 6 3" xfId="7841"/>
    <cellStyle name="メモ 5 3 2 7" xfId="4661"/>
    <cellStyle name="メモ 5 3 2 7 2" xfId="8056"/>
    <cellStyle name="メモ 5 3 2 8" xfId="7089"/>
    <cellStyle name="メモ 5 3 3" xfId="3623"/>
    <cellStyle name="メモ 5 3 3 2" xfId="5896"/>
    <cellStyle name="メモ 5 3 3 2 2" xfId="8516"/>
    <cellStyle name="メモ 5 3 3 3" xfId="7549"/>
    <cellStyle name="メモ 5 3 4" xfId="2287"/>
    <cellStyle name="メモ 5 3 4 2" xfId="6952"/>
    <cellStyle name="メモ 5 3 5" xfId="2059"/>
    <cellStyle name="メモ 5 4" xfId="869"/>
    <cellStyle name="メモ 5 4 2" xfId="870"/>
    <cellStyle name="メモ 5 4 2 2" xfId="3483"/>
    <cellStyle name="メモ 5 4 2 2 2" xfId="5756"/>
    <cellStyle name="メモ 5 4 2 2 2 2" xfId="8462"/>
    <cellStyle name="メモ 5 4 2 2 3" xfId="7495"/>
    <cellStyle name="メモ 5 4 2 3" xfId="3307"/>
    <cellStyle name="メモ 5 4 2 3 2" xfId="5580"/>
    <cellStyle name="メモ 5 4 2 3 2 2" xfId="8335"/>
    <cellStyle name="メモ 5 4 2 3 3" xfId="7368"/>
    <cellStyle name="メモ 5 4 2 4" xfId="3707"/>
    <cellStyle name="メモ 5 4 2 4 2" xfId="5980"/>
    <cellStyle name="メモ 5 4 2 4 2 2" xfId="8600"/>
    <cellStyle name="メモ 5 4 2 4 3" xfId="7633"/>
    <cellStyle name="メモ 5 4 2 5" xfId="3896"/>
    <cellStyle name="メモ 5 4 2 5 2" xfId="6169"/>
    <cellStyle name="メモ 5 4 2 5 2 2" xfId="8787"/>
    <cellStyle name="メモ 5 4 2 5 3" xfId="7820"/>
    <cellStyle name="メモ 5 4 2 6" xfId="3967"/>
    <cellStyle name="メモ 5 4 2 6 2" xfId="6240"/>
    <cellStyle name="メモ 5 4 2 6 2 2" xfId="8858"/>
    <cellStyle name="メモ 5 4 2 6 3" xfId="7891"/>
    <cellStyle name="メモ 5 4 2 7" xfId="4662"/>
    <cellStyle name="メモ 5 4 2 7 2" xfId="8057"/>
    <cellStyle name="メモ 5 4 2 8" xfId="7090"/>
    <cellStyle name="メモ 5 4 3" xfId="3142"/>
    <cellStyle name="メモ 5 4 3 2" xfId="5415"/>
    <cellStyle name="メモ 5 4 3 2 2" xfId="8207"/>
    <cellStyle name="メモ 5 4 3 3" xfId="7240"/>
    <cellStyle name="メモ 5 4 4" xfId="2288"/>
    <cellStyle name="メモ 5 4 4 2" xfId="6953"/>
    <cellStyle name="メモ 5 4 5" xfId="2060"/>
    <cellStyle name="メモ 5 5" xfId="871"/>
    <cellStyle name="メモ 5 5 2" xfId="872"/>
    <cellStyle name="メモ 5 5 2 2" xfId="3484"/>
    <cellStyle name="メモ 5 5 2 2 2" xfId="5757"/>
    <cellStyle name="メモ 5 5 2 2 2 2" xfId="8463"/>
    <cellStyle name="メモ 5 5 2 2 3" xfId="7496"/>
    <cellStyle name="メモ 5 5 2 3" xfId="3308"/>
    <cellStyle name="メモ 5 5 2 3 2" xfId="5581"/>
    <cellStyle name="メモ 5 5 2 3 2 2" xfId="8336"/>
    <cellStyle name="メモ 5 5 2 3 3" xfId="7369"/>
    <cellStyle name="メモ 5 5 2 4" xfId="3708"/>
    <cellStyle name="メモ 5 5 2 4 2" xfId="5981"/>
    <cellStyle name="メモ 5 5 2 4 2 2" xfId="8601"/>
    <cellStyle name="メモ 5 5 2 4 3" xfId="7634"/>
    <cellStyle name="メモ 5 5 2 5" xfId="3897"/>
    <cellStyle name="メモ 5 5 2 5 2" xfId="6170"/>
    <cellStyle name="メモ 5 5 2 5 2 2" xfId="8788"/>
    <cellStyle name="メモ 5 5 2 5 3" xfId="7821"/>
    <cellStyle name="メモ 5 5 2 6" xfId="3913"/>
    <cellStyle name="メモ 5 5 2 6 2" xfId="6186"/>
    <cellStyle name="メモ 5 5 2 6 2 2" xfId="8804"/>
    <cellStyle name="メモ 5 5 2 6 3" xfId="7837"/>
    <cellStyle name="メモ 5 5 2 7" xfId="4663"/>
    <cellStyle name="メモ 5 5 2 7 2" xfId="8058"/>
    <cellStyle name="メモ 5 5 2 8" xfId="7091"/>
    <cellStyle name="メモ 5 5 3" xfId="3139"/>
    <cellStyle name="メモ 5 5 3 2" xfId="5412"/>
    <cellStyle name="メモ 5 5 3 2 2" xfId="8204"/>
    <cellStyle name="メモ 5 5 3 3" xfId="7237"/>
    <cellStyle name="メモ 5 5 4" xfId="2289"/>
    <cellStyle name="メモ 5 5 4 2" xfId="6954"/>
    <cellStyle name="メモ 5 5 5" xfId="2061"/>
    <cellStyle name="メモ 5 6" xfId="873"/>
    <cellStyle name="メモ 5 6 2" xfId="874"/>
    <cellStyle name="メモ 5 6 2 2" xfId="3485"/>
    <cellStyle name="メモ 5 6 2 2 2" xfId="5758"/>
    <cellStyle name="メモ 5 6 2 2 2 2" xfId="8464"/>
    <cellStyle name="メモ 5 6 2 2 3" xfId="7497"/>
    <cellStyle name="メモ 5 6 2 3" xfId="3309"/>
    <cellStyle name="メモ 5 6 2 3 2" xfId="5582"/>
    <cellStyle name="メモ 5 6 2 3 2 2" xfId="8337"/>
    <cellStyle name="メモ 5 6 2 3 3" xfId="7370"/>
    <cellStyle name="メモ 5 6 2 4" xfId="3709"/>
    <cellStyle name="メモ 5 6 2 4 2" xfId="5982"/>
    <cellStyle name="メモ 5 6 2 4 2 2" xfId="8602"/>
    <cellStyle name="メモ 5 6 2 4 3" xfId="7635"/>
    <cellStyle name="メモ 5 6 2 5" xfId="3898"/>
    <cellStyle name="メモ 5 6 2 5 2" xfId="6171"/>
    <cellStyle name="メモ 5 6 2 5 2 2" xfId="8789"/>
    <cellStyle name="メモ 5 6 2 5 3" xfId="7822"/>
    <cellStyle name="メモ 5 6 2 6" xfId="3756"/>
    <cellStyle name="メモ 5 6 2 6 2" xfId="6029"/>
    <cellStyle name="メモ 5 6 2 6 2 2" xfId="8649"/>
    <cellStyle name="メモ 5 6 2 6 3" xfId="7682"/>
    <cellStyle name="メモ 5 6 2 7" xfId="4664"/>
    <cellStyle name="メモ 5 6 2 7 2" xfId="8059"/>
    <cellStyle name="メモ 5 6 2 8" xfId="7092"/>
    <cellStyle name="メモ 5 6 3" xfId="3140"/>
    <cellStyle name="メモ 5 6 3 2" xfId="5413"/>
    <cellStyle name="メモ 5 6 3 2 2" xfId="8205"/>
    <cellStyle name="メモ 5 6 3 3" xfId="7238"/>
    <cellStyle name="メモ 5 6 4" xfId="2290"/>
    <cellStyle name="メモ 5 6 4 2" xfId="6955"/>
    <cellStyle name="メモ 5 6 5" xfId="2062"/>
    <cellStyle name="メモ 5 7" xfId="875"/>
    <cellStyle name="メモ 5 7 2" xfId="876"/>
    <cellStyle name="メモ 5 7 2 2" xfId="3486"/>
    <cellStyle name="メモ 5 7 2 2 2" xfId="5759"/>
    <cellStyle name="メモ 5 7 2 2 2 2" xfId="8465"/>
    <cellStyle name="メモ 5 7 2 2 3" xfId="7498"/>
    <cellStyle name="メモ 5 7 2 3" xfId="3310"/>
    <cellStyle name="メモ 5 7 2 3 2" xfId="5583"/>
    <cellStyle name="メモ 5 7 2 3 2 2" xfId="8338"/>
    <cellStyle name="メモ 5 7 2 3 3" xfId="7371"/>
    <cellStyle name="メモ 5 7 2 4" xfId="3710"/>
    <cellStyle name="メモ 5 7 2 4 2" xfId="5983"/>
    <cellStyle name="メモ 5 7 2 4 2 2" xfId="8603"/>
    <cellStyle name="メモ 5 7 2 4 3" xfId="7636"/>
    <cellStyle name="メモ 5 7 2 5" xfId="3899"/>
    <cellStyle name="メモ 5 7 2 5 2" xfId="6172"/>
    <cellStyle name="メモ 5 7 2 5 2 2" xfId="8790"/>
    <cellStyle name="メモ 5 7 2 5 3" xfId="7823"/>
    <cellStyle name="メモ 5 7 2 6" xfId="3944"/>
    <cellStyle name="メモ 5 7 2 6 2" xfId="6217"/>
    <cellStyle name="メモ 5 7 2 6 2 2" xfId="8835"/>
    <cellStyle name="メモ 5 7 2 6 3" xfId="7868"/>
    <cellStyle name="メモ 5 7 2 7" xfId="4665"/>
    <cellStyle name="メモ 5 7 2 7 2" xfId="8060"/>
    <cellStyle name="メモ 5 7 2 8" xfId="7093"/>
    <cellStyle name="メモ 5 7 3" xfId="3141"/>
    <cellStyle name="メモ 5 7 3 2" xfId="5414"/>
    <cellStyle name="メモ 5 7 3 2 2" xfId="8206"/>
    <cellStyle name="メモ 5 7 3 3" xfId="7239"/>
    <cellStyle name="メモ 5 7 4" xfId="2291"/>
    <cellStyle name="メモ 5 7 4 2" xfId="6956"/>
    <cellStyle name="メモ 5 7 5" xfId="2063"/>
    <cellStyle name="メモ 5 8" xfId="877"/>
    <cellStyle name="メモ 5 8 2" xfId="3480"/>
    <cellStyle name="メモ 5 8 2 2" xfId="5753"/>
    <cellStyle name="メモ 5 8 2 2 2" xfId="8459"/>
    <cellStyle name="メモ 5 8 2 3" xfId="7492"/>
    <cellStyle name="メモ 5 8 3" xfId="3304"/>
    <cellStyle name="メモ 5 8 3 2" xfId="5577"/>
    <cellStyle name="メモ 5 8 3 2 2" xfId="8332"/>
    <cellStyle name="メモ 5 8 3 3" xfId="7365"/>
    <cellStyle name="メモ 5 8 4" xfId="3704"/>
    <cellStyle name="メモ 5 8 4 2" xfId="5977"/>
    <cellStyle name="メモ 5 8 4 2 2" xfId="8597"/>
    <cellStyle name="メモ 5 8 4 3" xfId="7630"/>
    <cellStyle name="メモ 5 8 5" xfId="3893"/>
    <cellStyle name="メモ 5 8 5 2" xfId="6166"/>
    <cellStyle name="メモ 5 8 5 2 2" xfId="8784"/>
    <cellStyle name="メモ 5 8 5 3" xfId="7817"/>
    <cellStyle name="メモ 5 8 6" xfId="3914"/>
    <cellStyle name="メモ 5 8 6 2" xfId="6187"/>
    <cellStyle name="メモ 5 8 6 2 2" xfId="8805"/>
    <cellStyle name="メモ 5 8 6 3" xfId="7838"/>
    <cellStyle name="メモ 5 8 7" xfId="4659"/>
    <cellStyle name="メモ 5 8 7 2" xfId="8054"/>
    <cellStyle name="メモ 5 8 8" xfId="7087"/>
    <cellStyle name="メモ 5 9" xfId="3057"/>
    <cellStyle name="メモ 5 9 2" xfId="5330"/>
    <cellStyle name="メモ 5 9 2 2" xfId="8122"/>
    <cellStyle name="メモ 5 9 3" xfId="7155"/>
    <cellStyle name="メモ 6" xfId="878"/>
    <cellStyle name="メモ 6 2" xfId="879"/>
    <cellStyle name="メモ 6 2 2" xfId="880"/>
    <cellStyle name="メモ 6 2 2 2" xfId="3488"/>
    <cellStyle name="メモ 6 2 2 2 2" xfId="5761"/>
    <cellStyle name="メモ 6 2 2 2 2 2" xfId="8467"/>
    <cellStyle name="メモ 6 2 2 2 3" xfId="7500"/>
    <cellStyle name="メモ 6 2 2 3" xfId="3218"/>
    <cellStyle name="メモ 6 2 2 3 2" xfId="5491"/>
    <cellStyle name="メモ 6 2 2 3 2 2" xfId="8283"/>
    <cellStyle name="メモ 6 2 2 3 3" xfId="7316"/>
    <cellStyle name="メモ 6 2 2 4" xfId="3712"/>
    <cellStyle name="メモ 6 2 2 4 2" xfId="5985"/>
    <cellStyle name="メモ 6 2 2 4 2 2" xfId="8605"/>
    <cellStyle name="メモ 6 2 2 4 3" xfId="7638"/>
    <cellStyle name="メモ 6 2 2 5" xfId="3856"/>
    <cellStyle name="メモ 6 2 2 5 2" xfId="6129"/>
    <cellStyle name="メモ 6 2 2 5 2 2" xfId="8747"/>
    <cellStyle name="メモ 6 2 2 5 3" xfId="7780"/>
    <cellStyle name="メモ 6 2 2 6" xfId="3949"/>
    <cellStyle name="メモ 6 2 2 6 2" xfId="6222"/>
    <cellStyle name="メモ 6 2 2 6 2 2" xfId="8840"/>
    <cellStyle name="メモ 6 2 2 6 3" xfId="7873"/>
    <cellStyle name="メモ 6 2 2 7" xfId="4667"/>
    <cellStyle name="メモ 6 2 2 7 2" xfId="8062"/>
    <cellStyle name="メモ 6 2 2 8" xfId="7095"/>
    <cellStyle name="メモ 6 2 3" xfId="3054"/>
    <cellStyle name="メモ 6 2 3 2" xfId="5327"/>
    <cellStyle name="メモ 6 2 3 2 2" xfId="8119"/>
    <cellStyle name="メモ 6 2 3 3" xfId="7152"/>
    <cellStyle name="メモ 6 2 4" xfId="2293"/>
    <cellStyle name="メモ 6 2 4 2" xfId="6958"/>
    <cellStyle name="メモ 6 2 5" xfId="2065"/>
    <cellStyle name="メモ 6 3" xfId="881"/>
    <cellStyle name="メモ 6 3 2" xfId="882"/>
    <cellStyle name="メモ 6 3 2 2" xfId="3489"/>
    <cellStyle name="メモ 6 3 2 2 2" xfId="5762"/>
    <cellStyle name="メモ 6 3 2 2 2 2" xfId="8468"/>
    <cellStyle name="メモ 6 3 2 2 3" xfId="7501"/>
    <cellStyle name="メモ 6 3 2 3" xfId="3219"/>
    <cellStyle name="メモ 6 3 2 3 2" xfId="5492"/>
    <cellStyle name="メモ 6 3 2 3 2 2" xfId="8284"/>
    <cellStyle name="メモ 6 3 2 3 3" xfId="7317"/>
    <cellStyle name="メモ 6 3 2 4" xfId="3713"/>
    <cellStyle name="メモ 6 3 2 4 2" xfId="5986"/>
    <cellStyle name="メモ 6 3 2 4 2 2" xfId="8606"/>
    <cellStyle name="メモ 6 3 2 4 3" xfId="7639"/>
    <cellStyle name="メモ 6 3 2 5" xfId="3857"/>
    <cellStyle name="メモ 6 3 2 5 2" xfId="6130"/>
    <cellStyle name="メモ 6 3 2 5 2 2" xfId="8748"/>
    <cellStyle name="メモ 6 3 2 5 3" xfId="7781"/>
    <cellStyle name="メモ 6 3 2 6" xfId="3829"/>
    <cellStyle name="メモ 6 3 2 6 2" xfId="6102"/>
    <cellStyle name="メモ 6 3 2 6 2 2" xfId="8720"/>
    <cellStyle name="メモ 6 3 2 6 3" xfId="7753"/>
    <cellStyle name="メモ 6 3 2 7" xfId="4668"/>
    <cellStyle name="メモ 6 3 2 7 2" xfId="8063"/>
    <cellStyle name="メモ 6 3 2 8" xfId="7096"/>
    <cellStyle name="メモ 6 3 3" xfId="3058"/>
    <cellStyle name="メモ 6 3 3 2" xfId="5331"/>
    <cellStyle name="メモ 6 3 3 2 2" xfId="8123"/>
    <cellStyle name="メモ 6 3 3 3" xfId="7156"/>
    <cellStyle name="メモ 6 3 4" xfId="2294"/>
    <cellStyle name="メモ 6 3 4 2" xfId="6959"/>
    <cellStyle name="メモ 6 3 5" xfId="2066"/>
    <cellStyle name="メモ 6 4" xfId="883"/>
    <cellStyle name="メモ 6 4 2" xfId="884"/>
    <cellStyle name="メモ 6 4 2 2" xfId="3490"/>
    <cellStyle name="メモ 6 4 2 2 2" xfId="5763"/>
    <cellStyle name="メモ 6 4 2 2 2 2" xfId="8469"/>
    <cellStyle name="メモ 6 4 2 2 3" xfId="7502"/>
    <cellStyle name="メモ 6 4 2 3" xfId="3220"/>
    <cellStyle name="メモ 6 4 2 3 2" xfId="5493"/>
    <cellStyle name="メモ 6 4 2 3 2 2" xfId="8285"/>
    <cellStyle name="メモ 6 4 2 3 3" xfId="7318"/>
    <cellStyle name="メモ 6 4 2 4" xfId="3714"/>
    <cellStyle name="メモ 6 4 2 4 2" xfId="5987"/>
    <cellStyle name="メモ 6 4 2 4 2 2" xfId="8607"/>
    <cellStyle name="メモ 6 4 2 4 3" xfId="7640"/>
    <cellStyle name="メモ 6 4 2 5" xfId="4021"/>
    <cellStyle name="メモ 6 4 2 5 2" xfId="6294"/>
    <cellStyle name="メモ 6 4 2 5 2 2" xfId="8882"/>
    <cellStyle name="メモ 6 4 2 5 3" xfId="7915"/>
    <cellStyle name="メモ 6 4 2 6" xfId="3947"/>
    <cellStyle name="メモ 6 4 2 6 2" xfId="6220"/>
    <cellStyle name="メモ 6 4 2 6 2 2" xfId="8838"/>
    <cellStyle name="メモ 6 4 2 6 3" xfId="7871"/>
    <cellStyle name="メモ 6 4 2 7" xfId="4669"/>
    <cellStyle name="メモ 6 4 2 7 2" xfId="8064"/>
    <cellStyle name="メモ 6 4 2 8" xfId="7097"/>
    <cellStyle name="メモ 6 4 3" xfId="3059"/>
    <cellStyle name="メモ 6 4 3 2" xfId="5332"/>
    <cellStyle name="メモ 6 4 3 2 2" xfId="8124"/>
    <cellStyle name="メモ 6 4 3 3" xfId="7157"/>
    <cellStyle name="メモ 6 4 4" xfId="2295"/>
    <cellStyle name="メモ 6 4 4 2" xfId="6960"/>
    <cellStyle name="メモ 6 4 5" xfId="2067"/>
    <cellStyle name="メモ 6 5" xfId="885"/>
    <cellStyle name="メモ 6 5 2" xfId="3487"/>
    <cellStyle name="メモ 6 5 2 2" xfId="5760"/>
    <cellStyle name="メモ 6 5 2 2 2" xfId="8466"/>
    <cellStyle name="メモ 6 5 2 3" xfId="7499"/>
    <cellStyle name="メモ 6 5 3" xfId="3217"/>
    <cellStyle name="メモ 6 5 3 2" xfId="5490"/>
    <cellStyle name="メモ 6 5 3 2 2" xfId="8282"/>
    <cellStyle name="メモ 6 5 3 3" xfId="7315"/>
    <cellStyle name="メモ 6 5 4" xfId="3711"/>
    <cellStyle name="メモ 6 5 4 2" xfId="5984"/>
    <cellStyle name="メモ 6 5 4 2 2" xfId="8604"/>
    <cellStyle name="メモ 6 5 4 3" xfId="7637"/>
    <cellStyle name="メモ 6 5 5" xfId="3855"/>
    <cellStyle name="メモ 6 5 5 2" xfId="6128"/>
    <cellStyle name="メモ 6 5 5 2 2" xfId="8746"/>
    <cellStyle name="メモ 6 5 5 3" xfId="7779"/>
    <cellStyle name="メモ 6 5 6" xfId="3971"/>
    <cellStyle name="メモ 6 5 6 2" xfId="6244"/>
    <cellStyle name="メモ 6 5 6 2 2" xfId="8862"/>
    <cellStyle name="メモ 6 5 6 3" xfId="7895"/>
    <cellStyle name="メモ 6 5 7" xfId="4666"/>
    <cellStyle name="メモ 6 5 7 2" xfId="8061"/>
    <cellStyle name="メモ 6 5 8" xfId="7094"/>
    <cellStyle name="メモ 6 6" xfId="3230"/>
    <cellStyle name="メモ 6 6 2" xfId="5503"/>
    <cellStyle name="メモ 6 6 2 2" xfId="8295"/>
    <cellStyle name="メモ 6 6 3" xfId="7328"/>
    <cellStyle name="メモ 6 7" xfId="2292"/>
    <cellStyle name="メモ 6 7 2" xfId="6957"/>
    <cellStyle name="メモ 6 8" xfId="2064"/>
    <cellStyle name="メモ 7" xfId="886"/>
    <cellStyle name="メモ 7 2" xfId="887"/>
    <cellStyle name="メモ 7 2 2" xfId="3491"/>
    <cellStyle name="メモ 7 2 2 2" xfId="5764"/>
    <cellStyle name="メモ 7 2 2 2 2" xfId="8470"/>
    <cellStyle name="メモ 7 2 2 3" xfId="7503"/>
    <cellStyle name="メモ 7 2 3" xfId="3315"/>
    <cellStyle name="メモ 7 2 3 2" xfId="5588"/>
    <cellStyle name="メモ 7 2 3 2 2" xfId="8343"/>
    <cellStyle name="メモ 7 2 3 3" xfId="7376"/>
    <cellStyle name="メモ 7 2 4" xfId="3715"/>
    <cellStyle name="メモ 7 2 4 2" xfId="5988"/>
    <cellStyle name="メモ 7 2 4 2 2" xfId="8608"/>
    <cellStyle name="メモ 7 2 4 3" xfId="7641"/>
    <cellStyle name="メモ 7 2 5" xfId="4022"/>
    <cellStyle name="メモ 7 2 5 2" xfId="6295"/>
    <cellStyle name="メモ 7 2 5 2 2" xfId="8883"/>
    <cellStyle name="メモ 7 2 5 3" xfId="7916"/>
    <cellStyle name="メモ 7 2 6" xfId="3832"/>
    <cellStyle name="メモ 7 2 6 2" xfId="6105"/>
    <cellStyle name="メモ 7 2 6 2 2" xfId="8723"/>
    <cellStyle name="メモ 7 2 6 3" xfId="7756"/>
    <cellStyle name="メモ 7 2 7" xfId="4670"/>
    <cellStyle name="メモ 7 2 7 2" xfId="8065"/>
    <cellStyle name="メモ 7 2 8" xfId="7098"/>
    <cellStyle name="メモ 7 3" xfId="3060"/>
    <cellStyle name="メモ 7 3 2" xfId="5333"/>
    <cellStyle name="メモ 7 3 2 2" xfId="8125"/>
    <cellStyle name="メモ 7 3 3" xfId="7158"/>
    <cellStyle name="メモ 7 4" xfId="2296"/>
    <cellStyle name="メモ 7 4 2" xfId="6961"/>
    <cellStyle name="メモ 7 5" xfId="2068"/>
    <cellStyle name="メモ 8" xfId="888"/>
    <cellStyle name="メモ 8 2" xfId="889"/>
    <cellStyle name="メモ 8 2 2" xfId="3492"/>
    <cellStyle name="メモ 8 2 2 2" xfId="5765"/>
    <cellStyle name="メモ 8 2 2 2 2" xfId="8471"/>
    <cellStyle name="メモ 8 2 2 3" xfId="7504"/>
    <cellStyle name="メモ 8 2 3" xfId="3222"/>
    <cellStyle name="メモ 8 2 3 2" xfId="5495"/>
    <cellStyle name="メモ 8 2 3 2 2" xfId="8287"/>
    <cellStyle name="メモ 8 2 3 3" xfId="7320"/>
    <cellStyle name="メモ 8 2 4" xfId="3716"/>
    <cellStyle name="メモ 8 2 4 2" xfId="5989"/>
    <cellStyle name="メモ 8 2 4 2 2" xfId="8609"/>
    <cellStyle name="メモ 8 2 4 3" xfId="7642"/>
    <cellStyle name="メモ 8 2 5" xfId="3859"/>
    <cellStyle name="メモ 8 2 5 2" xfId="6132"/>
    <cellStyle name="メモ 8 2 5 2 2" xfId="8750"/>
    <cellStyle name="メモ 8 2 5 3" xfId="7783"/>
    <cellStyle name="メモ 8 2 6" xfId="3965"/>
    <cellStyle name="メモ 8 2 6 2" xfId="6238"/>
    <cellStyle name="メモ 8 2 6 2 2" xfId="8856"/>
    <cellStyle name="メモ 8 2 6 3" xfId="7889"/>
    <cellStyle name="メモ 8 2 7" xfId="4671"/>
    <cellStyle name="メモ 8 2 7 2" xfId="8066"/>
    <cellStyle name="メモ 8 2 8" xfId="7099"/>
    <cellStyle name="メモ 8 3" xfId="3143"/>
    <cellStyle name="メモ 8 3 2" xfId="5416"/>
    <cellStyle name="メモ 8 3 2 2" xfId="8208"/>
    <cellStyle name="メモ 8 3 3" xfId="7241"/>
    <cellStyle name="メモ 8 4" xfId="2297"/>
    <cellStyle name="メモ 8 4 2" xfId="6962"/>
    <cellStyle name="メモ 8 5" xfId="2069"/>
    <cellStyle name="メモ 9" xfId="890"/>
    <cellStyle name="メモ 9 2" xfId="891"/>
    <cellStyle name="メモ 9 2 2" xfId="3493"/>
    <cellStyle name="メモ 9 2 2 2" xfId="5766"/>
    <cellStyle name="メモ 9 2 2 2 2" xfId="8472"/>
    <cellStyle name="メモ 9 2 2 3" xfId="7505"/>
    <cellStyle name="メモ 9 2 3" xfId="3223"/>
    <cellStyle name="メモ 9 2 3 2" xfId="5496"/>
    <cellStyle name="メモ 9 2 3 2 2" xfId="8288"/>
    <cellStyle name="メモ 9 2 3 3" xfId="7321"/>
    <cellStyle name="メモ 9 2 4" xfId="3717"/>
    <cellStyle name="メモ 9 2 4 2" xfId="5990"/>
    <cellStyle name="メモ 9 2 4 2 2" xfId="8610"/>
    <cellStyle name="メモ 9 2 4 3" xfId="7643"/>
    <cellStyle name="メモ 9 2 5" xfId="3940"/>
    <cellStyle name="メモ 9 2 5 2" xfId="6213"/>
    <cellStyle name="メモ 9 2 5 2 2" xfId="8831"/>
    <cellStyle name="メモ 9 2 5 3" xfId="7864"/>
    <cellStyle name="メモ 9 2 6" xfId="4197"/>
    <cellStyle name="メモ 9 2 6 2" xfId="6470"/>
    <cellStyle name="メモ 9 2 6 2 2" xfId="8916"/>
    <cellStyle name="メモ 9 2 6 3" xfId="7949"/>
    <cellStyle name="メモ 9 2 7" xfId="4672"/>
    <cellStyle name="メモ 9 2 7 2" xfId="8067"/>
    <cellStyle name="メモ 9 2 8" xfId="7100"/>
    <cellStyle name="メモ 9 3" xfId="3061"/>
    <cellStyle name="メモ 9 3 2" xfId="5334"/>
    <cellStyle name="メモ 9 3 2 2" xfId="8126"/>
    <cellStyle name="メモ 9 3 3" xfId="7159"/>
    <cellStyle name="メモ 9 4" xfId="2298"/>
    <cellStyle name="メモ 9 4 2" xfId="6963"/>
    <cellStyle name="メモ 9 5" xfId="2070"/>
    <cellStyle name="リンク セル 2" xfId="892"/>
    <cellStyle name="リンク セル 2 2" xfId="893"/>
    <cellStyle name="リンク セル 2 3" xfId="894"/>
    <cellStyle name="リンク セル 2 4" xfId="895"/>
    <cellStyle name="リンク セル 3" xfId="896"/>
    <cellStyle name="リンク セル 4" xfId="897"/>
    <cellStyle name="リンク セル 5" xfId="898"/>
    <cellStyle name="・'_x000c_・・・V_x0001_ｳ_x0018_ﾘ0_x0007__x0001__x0001_" xfId="899"/>
    <cellStyle name="강조색1" xfId="900"/>
    <cellStyle name="강조색2" xfId="901"/>
    <cellStyle name="강조색3" xfId="902"/>
    <cellStyle name="강조색4" xfId="903"/>
    <cellStyle name="강조색5" xfId="904"/>
    <cellStyle name="강조색6" xfId="905"/>
    <cellStyle name="경고문" xfId="906"/>
    <cellStyle name="계산" xfId="907"/>
    <cellStyle name="계산 2" xfId="2392"/>
    <cellStyle name="계산 2 2" xfId="3494"/>
    <cellStyle name="계산 2 2 2" xfId="5767"/>
    <cellStyle name="계산 2 2 2 2" xfId="8473"/>
    <cellStyle name="계산 2 2 3" xfId="7506"/>
    <cellStyle name="계산 2 3" xfId="3224"/>
    <cellStyle name="계산 2 3 2" xfId="5497"/>
    <cellStyle name="계산 2 3 2 2" xfId="8289"/>
    <cellStyle name="계산 2 3 3" xfId="7322"/>
    <cellStyle name="계산 2 4" xfId="3718"/>
    <cellStyle name="계산 2 4 2" xfId="5991"/>
    <cellStyle name="계산 2 4 2 2" xfId="8611"/>
    <cellStyle name="계산 2 4 3" xfId="7644"/>
    <cellStyle name="계산 2 5" xfId="4096"/>
    <cellStyle name="계산 2 5 2" xfId="6369"/>
    <cellStyle name="계산 2 5 2 2" xfId="8901"/>
    <cellStyle name="계산 2 5 3" xfId="7934"/>
    <cellStyle name="계산 2 6" xfId="3759"/>
    <cellStyle name="계산 2 6 2" xfId="6032"/>
    <cellStyle name="계산 2 6 2 2" xfId="8650"/>
    <cellStyle name="계산 2 6 3" xfId="7683"/>
    <cellStyle name="계산 2 7" xfId="4673"/>
    <cellStyle name="계산 2 7 2" xfId="8068"/>
    <cellStyle name="계산 2 8" xfId="7101"/>
    <cellStyle name="계산 3" xfId="3062"/>
    <cellStyle name="계산 3 2" xfId="5335"/>
    <cellStyle name="계산 3 2 2" xfId="8127"/>
    <cellStyle name="계산 3 3" xfId="7160"/>
    <cellStyle name="계산 4" xfId="2299"/>
    <cellStyle name="계산 4 2" xfId="6964"/>
    <cellStyle name="계산 5" xfId="2096"/>
    <cellStyle name="悪い" xfId="14" builtinId="27"/>
    <cellStyle name="悪い 2" xfId="908"/>
    <cellStyle name="悪い 2 2" xfId="909"/>
    <cellStyle name="悪い 2 3" xfId="910"/>
    <cellStyle name="悪い 2 4" xfId="911"/>
    <cellStyle name="悪い 3" xfId="912"/>
    <cellStyle name="悪い 4" xfId="913"/>
    <cellStyle name="悪い 5" xfId="914"/>
    <cellStyle name="悪い 5 2" xfId="6767"/>
    <cellStyle name="悪い 6" xfId="915"/>
    <cellStyle name="悪い 7" xfId="916"/>
    <cellStyle name="悪い 7 2" xfId="6768"/>
    <cellStyle name="悪い 8" xfId="11554"/>
    <cellStyle name="나쁨" xfId="917"/>
    <cellStyle name="下点線" xfId="918"/>
    <cellStyle name="改行(上)" xfId="919"/>
    <cellStyle name="改行(中)" xfId="920"/>
    <cellStyle name="計算 2" xfId="921"/>
    <cellStyle name="計算 2 2" xfId="922"/>
    <cellStyle name="計算 2 2 2" xfId="2395"/>
    <cellStyle name="計算 2 2 2 2" xfId="3497"/>
    <cellStyle name="計算 2 2 2 2 2" xfId="5770"/>
    <cellStyle name="計算 2 2 2 2 2 2" xfId="8476"/>
    <cellStyle name="計算 2 2 2 2 3" xfId="7509"/>
    <cellStyle name="計算 2 2 2 3" xfId="3313"/>
    <cellStyle name="計算 2 2 2 3 2" xfId="5586"/>
    <cellStyle name="計算 2 2 2 3 2 2" xfId="8341"/>
    <cellStyle name="計算 2 2 2 3 3" xfId="7374"/>
    <cellStyle name="計算 2 2 2 4" xfId="3721"/>
    <cellStyle name="計算 2 2 2 4 2" xfId="5994"/>
    <cellStyle name="計算 2 2 2 4 2 2" xfId="8614"/>
    <cellStyle name="計算 2 2 2 4 3" xfId="7647"/>
    <cellStyle name="計算 2 2 2 5" xfId="3934"/>
    <cellStyle name="計算 2 2 2 5 2" xfId="6207"/>
    <cellStyle name="計算 2 2 2 5 2 2" xfId="8825"/>
    <cellStyle name="計算 2 2 2 5 3" xfId="7858"/>
    <cellStyle name="計算 2 2 2 6" xfId="3761"/>
    <cellStyle name="計算 2 2 2 6 2" xfId="6034"/>
    <cellStyle name="計算 2 2 2 6 2 2" xfId="8652"/>
    <cellStyle name="計算 2 2 2 6 3" xfId="7685"/>
    <cellStyle name="計算 2 2 2 7" xfId="4676"/>
    <cellStyle name="計算 2 2 2 7 2" xfId="8071"/>
    <cellStyle name="計算 2 2 2 8" xfId="7104"/>
    <cellStyle name="計算 2 2 3" xfId="3144"/>
    <cellStyle name="計算 2 2 3 2" xfId="5417"/>
    <cellStyle name="計算 2 2 3 2 2" xfId="8209"/>
    <cellStyle name="計算 2 2 3 3" xfId="7242"/>
    <cellStyle name="計算 2 2 4" xfId="2302"/>
    <cellStyle name="計算 2 2 4 2" xfId="6967"/>
    <cellStyle name="計算 2 2 5" xfId="2092"/>
    <cellStyle name="計算 2 3" xfId="923"/>
    <cellStyle name="計算 2 3 2" xfId="2396"/>
    <cellStyle name="計算 2 3 2 2" xfId="3498"/>
    <cellStyle name="計算 2 3 2 2 2" xfId="5771"/>
    <cellStyle name="計算 2 3 2 2 2 2" xfId="8477"/>
    <cellStyle name="計算 2 3 2 2 3" xfId="7510"/>
    <cellStyle name="計算 2 3 2 3" xfId="3225"/>
    <cellStyle name="計算 2 3 2 3 2" xfId="5498"/>
    <cellStyle name="計算 2 3 2 3 2 2" xfId="8290"/>
    <cellStyle name="計算 2 3 2 3 3" xfId="7323"/>
    <cellStyle name="計算 2 3 2 4" xfId="3722"/>
    <cellStyle name="計算 2 3 2 4 2" xfId="5995"/>
    <cellStyle name="計算 2 3 2 4 2 2" xfId="8615"/>
    <cellStyle name="計算 2 3 2 4 3" xfId="7648"/>
    <cellStyle name="計算 2 3 2 5" xfId="3958"/>
    <cellStyle name="計算 2 3 2 5 2" xfId="6231"/>
    <cellStyle name="計算 2 3 2 5 2 2" xfId="8849"/>
    <cellStyle name="計算 2 3 2 5 3" xfId="7882"/>
    <cellStyle name="計算 2 3 2 6" xfId="3760"/>
    <cellStyle name="計算 2 3 2 6 2" xfId="6033"/>
    <cellStyle name="計算 2 3 2 6 2 2" xfId="8651"/>
    <cellStyle name="計算 2 3 2 6 3" xfId="7684"/>
    <cellStyle name="計算 2 3 2 7" xfId="4677"/>
    <cellStyle name="計算 2 3 2 7 2" xfId="8072"/>
    <cellStyle name="計算 2 3 2 8" xfId="7105"/>
    <cellStyle name="計算 2 3 3" xfId="3067"/>
    <cellStyle name="計算 2 3 3 2" xfId="5340"/>
    <cellStyle name="計算 2 3 3 2 2" xfId="8132"/>
    <cellStyle name="計算 2 3 3 3" xfId="7165"/>
    <cellStyle name="計算 2 3 4" xfId="2303"/>
    <cellStyle name="計算 2 3 4 2" xfId="6968"/>
    <cellStyle name="計算 2 3 5" xfId="2091"/>
    <cellStyle name="計算 2 4" xfId="924"/>
    <cellStyle name="計算 2 4 2" xfId="2397"/>
    <cellStyle name="計算 2 4 2 2" xfId="3499"/>
    <cellStyle name="計算 2 4 2 2 2" xfId="5772"/>
    <cellStyle name="計算 2 4 2 2 2 2" xfId="8478"/>
    <cellStyle name="計算 2 4 2 2 3" xfId="7511"/>
    <cellStyle name="計算 2 4 2 3" xfId="3226"/>
    <cellStyle name="計算 2 4 2 3 2" xfId="5499"/>
    <cellStyle name="計算 2 4 2 3 2 2" xfId="8291"/>
    <cellStyle name="計算 2 4 2 3 3" xfId="7324"/>
    <cellStyle name="計算 2 4 2 4" xfId="3723"/>
    <cellStyle name="計算 2 4 2 4 2" xfId="5996"/>
    <cellStyle name="計算 2 4 2 4 2 2" xfId="8616"/>
    <cellStyle name="計算 2 4 2 4 3" xfId="7649"/>
    <cellStyle name="計算 2 4 2 5" xfId="3937"/>
    <cellStyle name="計算 2 4 2 5 2" xfId="6210"/>
    <cellStyle name="計算 2 4 2 5 2 2" xfId="8828"/>
    <cellStyle name="計算 2 4 2 5 3" xfId="7861"/>
    <cellStyle name="計算 2 4 2 6" xfId="4032"/>
    <cellStyle name="計算 2 4 2 6 2" xfId="6305"/>
    <cellStyle name="計算 2 4 2 6 2 2" xfId="8886"/>
    <cellStyle name="計算 2 4 2 6 3" xfId="7919"/>
    <cellStyle name="計算 2 4 2 7" xfId="4678"/>
    <cellStyle name="計算 2 4 2 7 2" xfId="8073"/>
    <cellStyle name="計算 2 4 2 8" xfId="7106"/>
    <cellStyle name="計算 2 4 3" xfId="3053"/>
    <cellStyle name="計算 2 4 3 2" xfId="5326"/>
    <cellStyle name="計算 2 4 3 2 2" xfId="8118"/>
    <cellStyle name="計算 2 4 3 3" xfId="7151"/>
    <cellStyle name="計算 2 4 4" xfId="2304"/>
    <cellStyle name="計算 2 4 4 2" xfId="6969"/>
    <cellStyle name="計算 2 4 5" xfId="2090"/>
    <cellStyle name="計算 2 5" xfId="2394"/>
    <cellStyle name="計算 2 5 2" xfId="3496"/>
    <cellStyle name="計算 2 5 2 2" xfId="5769"/>
    <cellStyle name="計算 2 5 2 2 2" xfId="8475"/>
    <cellStyle name="計算 2 5 2 3" xfId="7508"/>
    <cellStyle name="計算 2 5 3" xfId="3312"/>
    <cellStyle name="計算 2 5 3 2" xfId="5585"/>
    <cellStyle name="計算 2 5 3 2 2" xfId="8340"/>
    <cellStyle name="計算 2 5 3 3" xfId="7373"/>
    <cellStyle name="計算 2 5 4" xfId="3720"/>
    <cellStyle name="計算 2 5 4 2" xfId="5993"/>
    <cellStyle name="計算 2 5 4 2 2" xfId="8613"/>
    <cellStyle name="計算 2 5 4 3" xfId="7646"/>
    <cellStyle name="計算 2 5 5" xfId="3777"/>
    <cellStyle name="計算 2 5 5 2" xfId="6050"/>
    <cellStyle name="計算 2 5 5 2 2" xfId="8668"/>
    <cellStyle name="計算 2 5 5 3" xfId="7701"/>
    <cellStyle name="計算 2 5 6" xfId="4010"/>
    <cellStyle name="計算 2 5 6 2" xfId="6283"/>
    <cellStyle name="計算 2 5 6 2 2" xfId="8871"/>
    <cellStyle name="計算 2 5 6 3" xfId="7904"/>
    <cellStyle name="計算 2 5 7" xfId="4675"/>
    <cellStyle name="計算 2 5 7 2" xfId="8070"/>
    <cellStyle name="計算 2 5 8" xfId="7103"/>
    <cellStyle name="計算 2 6" xfId="3065"/>
    <cellStyle name="計算 2 6 2" xfId="5338"/>
    <cellStyle name="計算 2 6 2 2" xfId="8130"/>
    <cellStyle name="計算 2 6 3" xfId="7163"/>
    <cellStyle name="計算 2 7" xfId="2301"/>
    <cellStyle name="計算 2 7 2" xfId="6966"/>
    <cellStyle name="計算 2 8" xfId="2094"/>
    <cellStyle name="計算 3" xfId="925"/>
    <cellStyle name="計算 3 2" xfId="926"/>
    <cellStyle name="計算 3 2 2" xfId="2399"/>
    <cellStyle name="計算 3 2 2 2" xfId="3501"/>
    <cellStyle name="計算 3 2 2 2 2" xfId="5774"/>
    <cellStyle name="計算 3 2 2 2 2 2" xfId="8480"/>
    <cellStyle name="計算 3 2 2 2 3" xfId="7513"/>
    <cellStyle name="計算 3 2 2 3" xfId="3324"/>
    <cellStyle name="計算 3 2 2 3 2" xfId="5597"/>
    <cellStyle name="計算 3 2 2 3 2 2" xfId="8352"/>
    <cellStyle name="計算 3 2 2 3 3" xfId="7385"/>
    <cellStyle name="計算 3 2 2 4" xfId="3725"/>
    <cellStyle name="計算 3 2 2 4 2" xfId="5998"/>
    <cellStyle name="計算 3 2 2 4 2 2" xfId="8618"/>
    <cellStyle name="計算 3 2 2 4 3" xfId="7651"/>
    <cellStyle name="計算 3 2 2 5" xfId="3970"/>
    <cellStyle name="計算 3 2 2 5 2" xfId="6243"/>
    <cellStyle name="計算 3 2 2 5 2 2" xfId="8861"/>
    <cellStyle name="計算 3 2 2 5 3" xfId="7894"/>
    <cellStyle name="計算 3 2 2 6" xfId="3948"/>
    <cellStyle name="計算 3 2 2 6 2" xfId="6221"/>
    <cellStyle name="計算 3 2 2 6 2 2" xfId="8839"/>
    <cellStyle name="計算 3 2 2 6 3" xfId="7872"/>
    <cellStyle name="計算 3 2 2 7" xfId="4680"/>
    <cellStyle name="計算 3 2 2 7 2" xfId="8075"/>
    <cellStyle name="計算 3 2 2 8" xfId="7108"/>
    <cellStyle name="計算 3 2 3" xfId="3063"/>
    <cellStyle name="計算 3 2 3 2" xfId="5336"/>
    <cellStyle name="計算 3 2 3 2 2" xfId="8128"/>
    <cellStyle name="計算 3 2 3 3" xfId="7161"/>
    <cellStyle name="計算 3 2 4" xfId="2306"/>
    <cellStyle name="計算 3 2 4 2" xfId="6971"/>
    <cellStyle name="計算 3 2 5" xfId="2088"/>
    <cellStyle name="計算 3 3" xfId="2398"/>
    <cellStyle name="計算 3 3 2" xfId="3500"/>
    <cellStyle name="計算 3 3 2 2" xfId="5773"/>
    <cellStyle name="計算 3 3 2 2 2" xfId="8479"/>
    <cellStyle name="計算 3 3 2 3" xfId="7512"/>
    <cellStyle name="計算 3 3 3" xfId="3314"/>
    <cellStyle name="計算 3 3 3 2" xfId="5587"/>
    <cellStyle name="計算 3 3 3 2 2" xfId="8342"/>
    <cellStyle name="計算 3 3 3 3" xfId="7375"/>
    <cellStyle name="計算 3 3 4" xfId="3724"/>
    <cellStyle name="計算 3 3 4 2" xfId="5997"/>
    <cellStyle name="計算 3 3 4 2 2" xfId="8617"/>
    <cellStyle name="計算 3 3 4 3" xfId="7650"/>
    <cellStyle name="計算 3 3 5" xfId="3952"/>
    <cellStyle name="計算 3 3 5 2" xfId="6225"/>
    <cellStyle name="計算 3 3 5 2 2" xfId="8843"/>
    <cellStyle name="計算 3 3 5 3" xfId="7876"/>
    <cellStyle name="計算 3 3 6" xfId="4009"/>
    <cellStyle name="計算 3 3 6 2" xfId="6282"/>
    <cellStyle name="計算 3 3 6 2 2" xfId="8870"/>
    <cellStyle name="計算 3 3 6 3" xfId="7903"/>
    <cellStyle name="計算 3 3 7" xfId="4679"/>
    <cellStyle name="計算 3 3 7 2" xfId="8074"/>
    <cellStyle name="計算 3 3 8" xfId="7107"/>
    <cellStyle name="計算 3 4" xfId="3066"/>
    <cellStyle name="計算 3 4 2" xfId="5339"/>
    <cellStyle name="計算 3 4 2 2" xfId="8131"/>
    <cellStyle name="計算 3 4 3" xfId="7164"/>
    <cellStyle name="計算 3 5" xfId="2305"/>
    <cellStyle name="計算 3 5 2" xfId="6970"/>
    <cellStyle name="計算 3 6" xfId="2089"/>
    <cellStyle name="計算 4" xfId="927"/>
    <cellStyle name="計算 4 2" xfId="2400"/>
    <cellStyle name="計算 4 2 2" xfId="3502"/>
    <cellStyle name="計算 4 2 2 2" xfId="5775"/>
    <cellStyle name="計算 4 2 2 2 2" xfId="8481"/>
    <cellStyle name="計算 4 2 2 3" xfId="7514"/>
    <cellStyle name="計算 4 2 3" xfId="3316"/>
    <cellStyle name="計算 4 2 3 2" xfId="5589"/>
    <cellStyle name="計算 4 2 3 2 2" xfId="8344"/>
    <cellStyle name="計算 4 2 3 3" xfId="7377"/>
    <cellStyle name="計算 4 2 4" xfId="3726"/>
    <cellStyle name="計算 4 2 4 2" xfId="5999"/>
    <cellStyle name="計算 4 2 4 2 2" xfId="8619"/>
    <cellStyle name="計算 4 2 4 3" xfId="7652"/>
    <cellStyle name="計算 4 2 5" xfId="3778"/>
    <cellStyle name="計算 4 2 5 2" xfId="6051"/>
    <cellStyle name="計算 4 2 5 2 2" xfId="8669"/>
    <cellStyle name="計算 4 2 5 3" xfId="7702"/>
    <cellStyle name="計算 4 2 6" xfId="3762"/>
    <cellStyle name="計算 4 2 6 2" xfId="6035"/>
    <cellStyle name="計算 4 2 6 2 2" xfId="8653"/>
    <cellStyle name="計算 4 2 6 3" xfId="7686"/>
    <cellStyle name="計算 4 2 7" xfId="4681"/>
    <cellStyle name="計算 4 2 7 2" xfId="8076"/>
    <cellStyle name="計算 4 2 8" xfId="7109"/>
    <cellStyle name="計算 4 3" xfId="3145"/>
    <cellStyle name="計算 4 3 2" xfId="5418"/>
    <cellStyle name="計算 4 3 2 2" xfId="8210"/>
    <cellStyle name="計算 4 3 3" xfId="7243"/>
    <cellStyle name="計算 4 4" xfId="2307"/>
    <cellStyle name="計算 4 4 2" xfId="6972"/>
    <cellStyle name="計算 4 5" xfId="2087"/>
    <cellStyle name="計算 5" xfId="928"/>
    <cellStyle name="計算 5 2" xfId="2393"/>
    <cellStyle name="計算 5 2 2" xfId="3495"/>
    <cellStyle name="計算 5 2 2 2" xfId="5768"/>
    <cellStyle name="計算 5 2 2 2 2" xfId="8474"/>
    <cellStyle name="計算 5 2 2 3" xfId="7507"/>
    <cellStyle name="計算 5 2 3" xfId="3311"/>
    <cellStyle name="計算 5 2 3 2" xfId="5584"/>
    <cellStyle name="計算 5 2 3 2 2" xfId="8339"/>
    <cellStyle name="計算 5 2 3 3" xfId="7372"/>
    <cellStyle name="計算 5 2 4" xfId="3719"/>
    <cellStyle name="計算 5 2 4 2" xfId="5992"/>
    <cellStyle name="計算 5 2 4 2 2" xfId="8612"/>
    <cellStyle name="計算 5 2 4 3" xfId="7645"/>
    <cellStyle name="計算 5 2 5" xfId="3938"/>
    <cellStyle name="計算 5 2 5 2" xfId="6211"/>
    <cellStyle name="計算 5 2 5 2 2" xfId="8829"/>
    <cellStyle name="計算 5 2 5 3" xfId="7862"/>
    <cellStyle name="計算 5 2 6" xfId="3801"/>
    <cellStyle name="計算 5 2 6 2" xfId="6074"/>
    <cellStyle name="計算 5 2 6 2 2" xfId="8692"/>
    <cellStyle name="計算 5 2 6 3" xfId="7725"/>
    <cellStyle name="計算 5 2 7" xfId="4674"/>
    <cellStyle name="計算 5 2 7 2" xfId="8069"/>
    <cellStyle name="計算 5 2 8" xfId="7102"/>
    <cellStyle name="計算 5 3" xfId="3064"/>
    <cellStyle name="計算 5 3 2" xfId="5337"/>
    <cellStyle name="計算 5 3 2 2" xfId="8129"/>
    <cellStyle name="計算 5 3 3" xfId="7162"/>
    <cellStyle name="計算 5 4" xfId="2300"/>
    <cellStyle name="計算 5 4 2" xfId="6965"/>
    <cellStyle name="計算 5 5" xfId="2095"/>
    <cellStyle name="警告文 2" xfId="929"/>
    <cellStyle name="警告文 2 2" xfId="930"/>
    <cellStyle name="警告文 2 3" xfId="931"/>
    <cellStyle name="警告文 2 4" xfId="932"/>
    <cellStyle name="警告文 3" xfId="933"/>
    <cellStyle name="警告文 4" xfId="934"/>
    <cellStyle name="警告文 5" xfId="935"/>
    <cellStyle name="桁蟻唇Ｆ [0.00]_IBMPC" xfId="936"/>
    <cellStyle name="桁蟻唇Ｆ_A°DAU±ATIsA" xfId="937"/>
    <cellStyle name="桁区切り" xfId="1974" builtinId="6"/>
    <cellStyle name="桁区切り 10" xfId="938"/>
    <cellStyle name="桁区切り 10 2" xfId="12"/>
    <cellStyle name="桁区切り 10 2 2" xfId="6771"/>
    <cellStyle name="桁区切り 10 3" xfId="6770"/>
    <cellStyle name="桁区切り 11" xfId="2133"/>
    <cellStyle name="桁区切り 11 2" xfId="6769"/>
    <cellStyle name="桁区切り 12" xfId="11568"/>
    <cellStyle name="桁区切り 2" xfId="939"/>
    <cellStyle name="桁区切り 2 10" xfId="940"/>
    <cellStyle name="桁区切り 2 11" xfId="6772"/>
    <cellStyle name="桁区切り 2 2" xfId="941"/>
    <cellStyle name="桁区切り 2 2 2" xfId="942"/>
    <cellStyle name="桁区切り 2 2 2 2" xfId="943"/>
    <cellStyle name="桁区切り 2 2 2 2 2" xfId="944"/>
    <cellStyle name="桁区切り 2 2 2 2 2 2" xfId="945"/>
    <cellStyle name="桁区切り 2 2 2 2 3" xfId="946"/>
    <cellStyle name="桁区切り 2 2 2 3" xfId="947"/>
    <cellStyle name="桁区切り 2 2 2 3 2" xfId="948"/>
    <cellStyle name="桁区切り 2 2 2 4" xfId="949"/>
    <cellStyle name="桁区切り 2 2 3" xfId="950"/>
    <cellStyle name="桁区切り 2 2 3 2" xfId="951"/>
    <cellStyle name="桁区切り 2 2 3 2 2" xfId="952"/>
    <cellStyle name="桁区切り 2 2 3 3" xfId="953"/>
    <cellStyle name="桁区切り 2 2 3 4" xfId="954"/>
    <cellStyle name="桁区切り 2 2 4" xfId="955"/>
    <cellStyle name="桁区切り 2 2 4 2" xfId="956"/>
    <cellStyle name="桁区切り 2 2 5" xfId="957"/>
    <cellStyle name="桁区切り 2 2 6" xfId="6773"/>
    <cellStyle name="桁区切り 2 3" xfId="958"/>
    <cellStyle name="桁区切り 2 3 2" xfId="959"/>
    <cellStyle name="桁区切り 2 3 2 2" xfId="960"/>
    <cellStyle name="桁区切り 2 3 2 2 2" xfId="961"/>
    <cellStyle name="桁区切り 2 3 2 2 2 2" xfId="962"/>
    <cellStyle name="桁区切り 2 3 2 2 3" xfId="963"/>
    <cellStyle name="桁区切り 2 3 2 3" xfId="964"/>
    <cellStyle name="桁区切り 2 3 2 3 2" xfId="965"/>
    <cellStyle name="桁区切り 2 3 2 4" xfId="966"/>
    <cellStyle name="桁区切り 2 3 3" xfId="967"/>
    <cellStyle name="桁区切り 2 3 3 2" xfId="968"/>
    <cellStyle name="桁区切り 2 3 3 2 2" xfId="969"/>
    <cellStyle name="桁区切り 2 3 3 3" xfId="970"/>
    <cellStyle name="桁区切り 2 3 4" xfId="971"/>
    <cellStyle name="桁区切り 2 3 4 2" xfId="972"/>
    <cellStyle name="桁区切り 2 3 5" xfId="973"/>
    <cellStyle name="桁区切り 2 4" xfId="974"/>
    <cellStyle name="桁区切り 2 4 2" xfId="975"/>
    <cellStyle name="桁区切り 2 4 2 2" xfId="976"/>
    <cellStyle name="桁区切り 2 4 2 2 2" xfId="977"/>
    <cellStyle name="桁区切り 2 4 2 2 2 2" xfId="978"/>
    <cellStyle name="桁区切り 2 4 2 2 3" xfId="979"/>
    <cellStyle name="桁区切り 2 4 2 3" xfId="980"/>
    <cellStyle name="桁区切り 2 4 2 3 2" xfId="981"/>
    <cellStyle name="桁区切り 2 4 2 4" xfId="982"/>
    <cellStyle name="桁区切り 2 4 3" xfId="983"/>
    <cellStyle name="桁区切り 2 4 3 2" xfId="984"/>
    <cellStyle name="桁区切り 2 4 3 2 2" xfId="985"/>
    <cellStyle name="桁区切り 2 4 3 3" xfId="986"/>
    <cellStyle name="桁区切り 2 4 4" xfId="987"/>
    <cellStyle name="桁区切り 2 4 4 2" xfId="988"/>
    <cellStyle name="桁区切り 2 4 5" xfId="989"/>
    <cellStyle name="桁区切り 2 4 6" xfId="990"/>
    <cellStyle name="桁区切り 2 5" xfId="991"/>
    <cellStyle name="桁区切り 2 5 2" xfId="992"/>
    <cellStyle name="桁区切り 2 5 2 2" xfId="993"/>
    <cellStyle name="桁区切り 2 5 2 2 2" xfId="994"/>
    <cellStyle name="桁区切り 2 5 2 2 2 2" xfId="995"/>
    <cellStyle name="桁区切り 2 5 2 2 3" xfId="996"/>
    <cellStyle name="桁区切り 2 5 2 3" xfId="997"/>
    <cellStyle name="桁区切り 2 5 2 3 2" xfId="998"/>
    <cellStyle name="桁区切り 2 5 2 4" xfId="999"/>
    <cellStyle name="桁区切り 2 5 3" xfId="1000"/>
    <cellStyle name="桁区切り 2 5 3 2" xfId="1001"/>
    <cellStyle name="桁区切り 2 5 3 2 2" xfId="1002"/>
    <cellStyle name="桁区切り 2 5 3 3" xfId="1003"/>
    <cellStyle name="桁区切り 2 5 4" xfId="1004"/>
    <cellStyle name="桁区切り 2 5 4 2" xfId="1005"/>
    <cellStyle name="桁区切り 2 5 5" xfId="1006"/>
    <cellStyle name="桁区切り 2 6" xfId="1007"/>
    <cellStyle name="桁区切り 2 6 2" xfId="1008"/>
    <cellStyle name="桁区切り 2 6 2 2" xfId="1009"/>
    <cellStyle name="桁区切り 2 6 2 2 2" xfId="1010"/>
    <cellStyle name="桁区切り 2 6 2 2 2 2" xfId="1011"/>
    <cellStyle name="桁区切り 2 6 2 2 3" xfId="1012"/>
    <cellStyle name="桁区切り 2 6 2 3" xfId="1013"/>
    <cellStyle name="桁区切り 2 6 2 3 2" xfId="1014"/>
    <cellStyle name="桁区切り 2 6 2 4" xfId="1015"/>
    <cellStyle name="桁区切り 2 6 3" xfId="1016"/>
    <cellStyle name="桁区切り 2 6 3 2" xfId="6775"/>
    <cellStyle name="桁区切り 2 6 3 3" xfId="6774"/>
    <cellStyle name="桁区切り 2 7" xfId="1017"/>
    <cellStyle name="桁区切り 2 7 2" xfId="1018"/>
    <cellStyle name="桁区切り 2 7 2 2" xfId="1019"/>
    <cellStyle name="桁区切り 2 7 3" xfId="1020"/>
    <cellStyle name="桁区切り 2 8" xfId="1021"/>
    <cellStyle name="桁区切り 2 8 2" xfId="1022"/>
    <cellStyle name="桁区切り 2 9" xfId="1023"/>
    <cellStyle name="桁区切り 2_バックアップセンタ_切替テストスケジュール_20120406~10" xfId="1024"/>
    <cellStyle name="桁区切り 3" xfId="1025"/>
    <cellStyle name="桁区切り 3 10" xfId="6849"/>
    <cellStyle name="桁区切り 3 11" xfId="6851"/>
    <cellStyle name="桁区切り 3 12" xfId="6854"/>
    <cellStyle name="桁区切り 3 2" xfId="1026"/>
    <cellStyle name="桁区切り 3 2 2" xfId="1027"/>
    <cellStyle name="桁区切り 3 2 2 2" xfId="1028"/>
    <cellStyle name="桁区切り 3 2 2 2 2" xfId="1029"/>
    <cellStyle name="桁区切り 3 2 2 2 2 2" xfId="1030"/>
    <cellStyle name="桁区切り 3 2 2 2 3" xfId="1031"/>
    <cellStyle name="桁区切り 3 2 2 3" xfId="1032"/>
    <cellStyle name="桁区切り 3 2 2 3 2" xfId="1033"/>
    <cellStyle name="桁区切り 3 2 2 4" xfId="1034"/>
    <cellStyle name="桁区切り 3 2 2 5" xfId="1035"/>
    <cellStyle name="桁区切り 3 2 2 5 2" xfId="6777"/>
    <cellStyle name="桁区切り 3 2 3" xfId="1036"/>
    <cellStyle name="桁区切り 3 2 3 2" xfId="6779"/>
    <cellStyle name="桁区切り 3 2 3 3" xfId="6778"/>
    <cellStyle name="桁区切り 3 2 4" xfId="1037"/>
    <cellStyle name="桁区切り 3 2 4 2" xfId="6781"/>
    <cellStyle name="桁区切り 3 2 4 3" xfId="6780"/>
    <cellStyle name="桁区切り 3 3" xfId="1038"/>
    <cellStyle name="桁区切り 3 3 2" xfId="1039"/>
    <cellStyle name="桁区切り 3 3 2 2" xfId="1040"/>
    <cellStyle name="桁区切り 3 3 2 2 2" xfId="1041"/>
    <cellStyle name="桁区切り 3 3 2 3" xfId="1042"/>
    <cellStyle name="桁区切り 3 3 3" xfId="1043"/>
    <cellStyle name="桁区切り 3 3 3 2" xfId="1044"/>
    <cellStyle name="桁区切り 3 3 4" xfId="1045"/>
    <cellStyle name="桁区切り 3 4" xfId="1046"/>
    <cellStyle name="桁区切り 3 4 2" xfId="1047"/>
    <cellStyle name="桁区切り 3 4 2 2" xfId="1048"/>
    <cellStyle name="桁区切り 3 4 3" xfId="1049"/>
    <cellStyle name="桁区切り 3 5" xfId="1050"/>
    <cellStyle name="桁区切り 3 5 2" xfId="1051"/>
    <cellStyle name="桁区切り 3 6" xfId="1052"/>
    <cellStyle name="桁区切り 3 7" xfId="1053"/>
    <cellStyle name="桁区切り 3 8" xfId="6782"/>
    <cellStyle name="桁区切り 3 9" xfId="6776"/>
    <cellStyle name="桁区切り 4" xfId="1054"/>
    <cellStyle name="桁区切り 4 2" xfId="1055"/>
    <cellStyle name="桁区切り 4 2 2" xfId="1056"/>
    <cellStyle name="桁区切り 4 2 2 2" xfId="1057"/>
    <cellStyle name="桁区切り 4 2 2 2 2" xfId="1058"/>
    <cellStyle name="桁区切り 4 2 2 3" xfId="1059"/>
    <cellStyle name="桁区切り 4 2 3" xfId="1060"/>
    <cellStyle name="桁区切り 4 2 3 2" xfId="1061"/>
    <cellStyle name="桁区切り 4 2 4" xfId="1062"/>
    <cellStyle name="桁区切り 4 3" xfId="1063"/>
    <cellStyle name="桁区切り 4 3 2" xfId="6784"/>
    <cellStyle name="桁区切り 4 3 3" xfId="6783"/>
    <cellStyle name="桁区切り 4 4" xfId="1064"/>
    <cellStyle name="桁区切り 5" xfId="1065"/>
    <cellStyle name="桁区切り 5 2" xfId="1066"/>
    <cellStyle name="桁区切り 5 2 2" xfId="1067"/>
    <cellStyle name="桁区切り 5 2 2 2" xfId="1068"/>
    <cellStyle name="桁区切り 5 2 3" xfId="1069"/>
    <cellStyle name="桁区切り 5 3" xfId="1070"/>
    <cellStyle name="桁区切り 5 3 2" xfId="1071"/>
    <cellStyle name="桁区切り 5 3 3" xfId="1072"/>
    <cellStyle name="桁区切り 5 3 3 2" xfId="6786"/>
    <cellStyle name="桁区切り 5 3 3 3" xfId="6785"/>
    <cellStyle name="桁区切り 5 4" xfId="1073"/>
    <cellStyle name="桁区切り 5 5" xfId="1074"/>
    <cellStyle name="桁区切り 5 5 2" xfId="6788"/>
    <cellStyle name="桁区切り 5 5 3" xfId="6787"/>
    <cellStyle name="桁区切り 5 6" xfId="6789"/>
    <cellStyle name="桁区切り 6" xfId="1075"/>
    <cellStyle name="桁区切り 6 2" xfId="1076"/>
    <cellStyle name="桁区切り 6 2 2" xfId="1077"/>
    <cellStyle name="桁区切り 6 2 2 2" xfId="1078"/>
    <cellStyle name="桁区切り 6 2 3" xfId="1079"/>
    <cellStyle name="桁区切り 6 3" xfId="1080"/>
    <cellStyle name="桁区切り 6 3 2" xfId="1081"/>
    <cellStyle name="桁区切り 6 4" xfId="1082"/>
    <cellStyle name="桁区切り 7" xfId="1083"/>
    <cellStyle name="桁区切り 7 2" xfId="1084"/>
    <cellStyle name="桁区切り 7 2 2" xfId="1085"/>
    <cellStyle name="桁区切り 7 3" xfId="1086"/>
    <cellStyle name="桁区切り 8" xfId="1087"/>
    <cellStyle name="桁区切り 8 2" xfId="1088"/>
    <cellStyle name="桁区切り 9" xfId="1089"/>
    <cellStyle name="桁区切り 9 2" xfId="1090"/>
    <cellStyle name="桁区切り 9 3" xfId="1091"/>
    <cellStyle name="桁区切り 9 3 2" xfId="6791"/>
    <cellStyle name="桁区切り 9 3 3" xfId="6790"/>
    <cellStyle name="見出し 1 2" xfId="1092"/>
    <cellStyle name="見出し 1 2 2" xfId="1093"/>
    <cellStyle name="見出し 1 2 3" xfId="1094"/>
    <cellStyle name="見出し 1 2 4" xfId="1095"/>
    <cellStyle name="見出し 1 3" xfId="1096"/>
    <cellStyle name="見出し 1 3 2" xfId="1097"/>
    <cellStyle name="見出し 1 4" xfId="1098"/>
    <cellStyle name="見出し 1 5" xfId="1099"/>
    <cellStyle name="見出し 2 2" xfId="1100"/>
    <cellStyle name="見出し 2 2 2" xfId="1101"/>
    <cellStyle name="見出し 2 2 3" xfId="1102"/>
    <cellStyle name="見出し 2 2 4" xfId="1103"/>
    <cellStyle name="見出し 2 3" xfId="1104"/>
    <cellStyle name="見出し 2 3 2" xfId="1105"/>
    <cellStyle name="見出し 2 4" xfId="1106"/>
    <cellStyle name="見出し 2 5" xfId="1107"/>
    <cellStyle name="見出し 3 2" xfId="1108"/>
    <cellStyle name="見出し 3 2 2" xfId="1109"/>
    <cellStyle name="見出し 3 2 3" xfId="1110"/>
    <cellStyle name="見出し 3 2 4" xfId="1111"/>
    <cellStyle name="見出し 3 3" xfId="1112"/>
    <cellStyle name="見出し 3 3 2" xfId="1113"/>
    <cellStyle name="見出し 3 4" xfId="1114"/>
    <cellStyle name="見出し 3 5" xfId="1115"/>
    <cellStyle name="見出し 4 2" xfId="1116"/>
    <cellStyle name="見出し 4 2 2" xfId="1117"/>
    <cellStyle name="見出し 4 2 3" xfId="1118"/>
    <cellStyle name="見出し 4 2 4" xfId="1119"/>
    <cellStyle name="見出し 4 3" xfId="1120"/>
    <cellStyle name="見出し 4 3 2" xfId="1121"/>
    <cellStyle name="見出し 4 4" xfId="1122"/>
    <cellStyle name="見出し 4 5" xfId="1123"/>
    <cellStyle name="見出し2" xfId="1124"/>
    <cellStyle name="構成図作成用" xfId="1125"/>
    <cellStyle name="作業手順ﾌﾛｰ" xfId="1126"/>
    <cellStyle name="集計 2" xfId="1127"/>
    <cellStyle name="集計 2 2" xfId="1128"/>
    <cellStyle name="集計 2 2 2" xfId="2403"/>
    <cellStyle name="集計 2 2 2 2" xfId="3505"/>
    <cellStyle name="集計 2 2 2 2 2" xfId="5778"/>
    <cellStyle name="集計 2 2 2 2 2 2" xfId="8484"/>
    <cellStyle name="集計 2 2 2 2 3" xfId="7517"/>
    <cellStyle name="集計 2 2 2 3" xfId="3319"/>
    <cellStyle name="集計 2 2 2 3 2" xfId="5592"/>
    <cellStyle name="集計 2 2 2 3 2 2" xfId="8347"/>
    <cellStyle name="集計 2 2 2 3 3" xfId="7380"/>
    <cellStyle name="集計 2 2 2 4" xfId="3729"/>
    <cellStyle name="集計 2 2 2 4 2" xfId="6002"/>
    <cellStyle name="集計 2 2 2 4 2 2" xfId="8622"/>
    <cellStyle name="集計 2 2 2 4 3" xfId="7655"/>
    <cellStyle name="集計 2 2 2 5" xfId="3936"/>
    <cellStyle name="集計 2 2 2 5 2" xfId="6209"/>
    <cellStyle name="集計 2 2 2 5 2 2" xfId="8827"/>
    <cellStyle name="集計 2 2 2 5 3" xfId="7860"/>
    <cellStyle name="集計 2 2 2 6" xfId="4011"/>
    <cellStyle name="集計 2 2 2 6 2" xfId="6284"/>
    <cellStyle name="集計 2 2 2 6 2 2" xfId="8872"/>
    <cellStyle name="集計 2 2 2 6 3" xfId="7905"/>
    <cellStyle name="集計 2 2 2 7" xfId="4684"/>
    <cellStyle name="集計 2 2 2 7 2" xfId="8079"/>
    <cellStyle name="集計 2 2 2 8" xfId="7112"/>
    <cellStyle name="集計 2 2 3" xfId="3148"/>
    <cellStyle name="集計 2 2 3 2" xfId="5421"/>
    <cellStyle name="集計 2 2 3 2 2" xfId="8213"/>
    <cellStyle name="集計 2 2 3 3" xfId="7246"/>
    <cellStyle name="集計 2 2 4" xfId="2310"/>
    <cellStyle name="集計 2 2 4 2" xfId="6975"/>
    <cellStyle name="集計 2 2 5" xfId="2073"/>
    <cellStyle name="集計 2 3" xfId="1129"/>
    <cellStyle name="集計 2 3 2" xfId="2404"/>
    <cellStyle name="集計 2 3 2 2" xfId="3506"/>
    <cellStyle name="集計 2 3 2 2 2" xfId="5779"/>
    <cellStyle name="集計 2 3 2 2 2 2" xfId="8485"/>
    <cellStyle name="集計 2 3 2 2 3" xfId="7518"/>
    <cellStyle name="集計 2 3 2 3" xfId="3227"/>
    <cellStyle name="集計 2 3 2 3 2" xfId="5500"/>
    <cellStyle name="集計 2 3 2 3 2 2" xfId="8292"/>
    <cellStyle name="集計 2 3 2 3 3" xfId="7325"/>
    <cellStyle name="集計 2 3 2 4" xfId="3730"/>
    <cellStyle name="集計 2 3 2 4 2" xfId="6003"/>
    <cellStyle name="集計 2 3 2 4 2 2" xfId="8623"/>
    <cellStyle name="集計 2 3 2 4 3" xfId="7656"/>
    <cellStyle name="集計 2 3 2 5" xfId="3960"/>
    <cellStyle name="集計 2 3 2 5 2" xfId="6233"/>
    <cellStyle name="集計 2 3 2 5 2 2" xfId="8851"/>
    <cellStyle name="集計 2 3 2 5 3" xfId="7884"/>
    <cellStyle name="集計 2 3 2 6" xfId="4012"/>
    <cellStyle name="集計 2 3 2 6 2" xfId="6285"/>
    <cellStyle name="集計 2 3 2 6 2 2" xfId="8873"/>
    <cellStyle name="集計 2 3 2 6 3" xfId="7906"/>
    <cellStyle name="集計 2 3 2 7" xfId="4685"/>
    <cellStyle name="集計 2 3 2 7 2" xfId="8080"/>
    <cellStyle name="集計 2 3 2 8" xfId="7113"/>
    <cellStyle name="集計 2 3 3" xfId="3149"/>
    <cellStyle name="集計 2 3 3 2" xfId="5422"/>
    <cellStyle name="集計 2 3 3 2 2" xfId="8214"/>
    <cellStyle name="集計 2 3 3 3" xfId="7247"/>
    <cellStyle name="集計 2 3 4" xfId="2311"/>
    <cellStyle name="集計 2 3 4 2" xfId="6976"/>
    <cellStyle name="集計 2 3 5" xfId="2074"/>
    <cellStyle name="集計 2 4" xfId="1130"/>
    <cellStyle name="集計 2 4 2" xfId="2405"/>
    <cellStyle name="集計 2 4 2 2" xfId="3507"/>
    <cellStyle name="集計 2 4 2 2 2" xfId="5780"/>
    <cellStyle name="集計 2 4 2 2 2 2" xfId="8486"/>
    <cellStyle name="集計 2 4 2 2 3" xfId="7519"/>
    <cellStyle name="集計 2 4 2 3" xfId="3320"/>
    <cellStyle name="集計 2 4 2 3 2" xfId="5593"/>
    <cellStyle name="集計 2 4 2 3 2 2" xfId="8348"/>
    <cellStyle name="集計 2 4 2 3 3" xfId="7381"/>
    <cellStyle name="集計 2 4 2 4" xfId="3731"/>
    <cellStyle name="集計 2 4 2 4 2" xfId="6004"/>
    <cellStyle name="集計 2 4 2 4 2 2" xfId="8624"/>
    <cellStyle name="集計 2 4 2 4 3" xfId="7657"/>
    <cellStyle name="集計 2 4 2 5" xfId="3935"/>
    <cellStyle name="集計 2 4 2 5 2" xfId="6208"/>
    <cellStyle name="集計 2 4 2 5 2 2" xfId="8826"/>
    <cellStyle name="集計 2 4 2 5 3" xfId="7859"/>
    <cellStyle name="集計 2 4 2 6" xfId="3830"/>
    <cellStyle name="集計 2 4 2 6 2" xfId="6103"/>
    <cellStyle name="集計 2 4 2 6 2 2" xfId="8721"/>
    <cellStyle name="集計 2 4 2 6 3" xfId="7754"/>
    <cellStyle name="集計 2 4 2 7" xfId="4686"/>
    <cellStyle name="集計 2 4 2 7 2" xfId="8081"/>
    <cellStyle name="集計 2 4 2 8" xfId="7114"/>
    <cellStyle name="集計 2 4 3" xfId="3150"/>
    <cellStyle name="集計 2 4 3 2" xfId="5423"/>
    <cellStyle name="集計 2 4 3 2 2" xfId="8215"/>
    <cellStyle name="集計 2 4 3 3" xfId="7248"/>
    <cellStyle name="集計 2 4 4" xfId="2312"/>
    <cellStyle name="集計 2 4 4 2" xfId="6977"/>
    <cellStyle name="集計 2 4 5" xfId="2075"/>
    <cellStyle name="集計 2 5" xfId="2402"/>
    <cellStyle name="集計 2 5 2" xfId="3504"/>
    <cellStyle name="集計 2 5 2 2" xfId="5777"/>
    <cellStyle name="集計 2 5 2 2 2" xfId="8483"/>
    <cellStyle name="集計 2 5 2 3" xfId="7516"/>
    <cellStyle name="集計 2 5 3" xfId="3318"/>
    <cellStyle name="集計 2 5 3 2" xfId="5591"/>
    <cellStyle name="集計 2 5 3 2 2" xfId="8346"/>
    <cellStyle name="集計 2 5 3 3" xfId="7379"/>
    <cellStyle name="集計 2 5 4" xfId="3728"/>
    <cellStyle name="集計 2 5 4 2" xfId="6001"/>
    <cellStyle name="集計 2 5 4 2 2" xfId="8621"/>
    <cellStyle name="集計 2 5 4 3" xfId="7654"/>
    <cellStyle name="集計 2 5 5" xfId="3957"/>
    <cellStyle name="集計 2 5 5 2" xfId="6230"/>
    <cellStyle name="集計 2 5 5 2 2" xfId="8848"/>
    <cellStyle name="集計 2 5 5 3" xfId="7881"/>
    <cellStyle name="集計 2 5 6" xfId="3763"/>
    <cellStyle name="集計 2 5 6 2" xfId="6036"/>
    <cellStyle name="集計 2 5 6 2 2" xfId="8654"/>
    <cellStyle name="集計 2 5 6 3" xfId="7687"/>
    <cellStyle name="集計 2 5 7" xfId="4683"/>
    <cellStyle name="集計 2 5 7 2" xfId="8078"/>
    <cellStyle name="集計 2 5 8" xfId="7111"/>
    <cellStyle name="集計 2 6" xfId="3147"/>
    <cellStyle name="集計 2 6 2" xfId="5420"/>
    <cellStyle name="集計 2 6 2 2" xfId="8212"/>
    <cellStyle name="集計 2 6 3" xfId="7245"/>
    <cellStyle name="集計 2 7" xfId="2309"/>
    <cellStyle name="集計 2 7 2" xfId="6974"/>
    <cellStyle name="集計 2 8" xfId="2072"/>
    <cellStyle name="集計 3" xfId="1131"/>
    <cellStyle name="集計 3 2" xfId="1132"/>
    <cellStyle name="集計 3 2 2" xfId="2407"/>
    <cellStyle name="集計 3 2 2 2" xfId="3509"/>
    <cellStyle name="集計 3 2 2 2 2" xfId="5782"/>
    <cellStyle name="集計 3 2 2 2 2 2" xfId="8488"/>
    <cellStyle name="集計 3 2 2 2 3" xfId="7521"/>
    <cellStyle name="集計 3 2 2 3" xfId="3322"/>
    <cellStyle name="集計 3 2 2 3 2" xfId="5595"/>
    <cellStyle name="集計 3 2 2 3 2 2" xfId="8350"/>
    <cellStyle name="集計 3 2 2 3 3" xfId="7383"/>
    <cellStyle name="集計 3 2 2 4" xfId="3733"/>
    <cellStyle name="集計 3 2 2 4 2" xfId="6006"/>
    <cellStyle name="集計 3 2 2 4 2 2" xfId="8626"/>
    <cellStyle name="集計 3 2 2 4 3" xfId="7659"/>
    <cellStyle name="集計 3 2 2 5" xfId="3959"/>
    <cellStyle name="集計 3 2 2 5 2" xfId="6232"/>
    <cellStyle name="集計 3 2 2 5 2 2" xfId="8850"/>
    <cellStyle name="集計 3 2 2 5 3" xfId="7883"/>
    <cellStyle name="集計 3 2 2 6" xfId="3869"/>
    <cellStyle name="集計 3 2 2 6 2" xfId="6142"/>
    <cellStyle name="集計 3 2 2 6 2 2" xfId="8760"/>
    <cellStyle name="集計 3 2 2 6 3" xfId="7793"/>
    <cellStyle name="集計 3 2 2 7" xfId="4688"/>
    <cellStyle name="集計 3 2 2 7 2" xfId="8083"/>
    <cellStyle name="集計 3 2 2 8" xfId="7116"/>
    <cellStyle name="集計 3 2 3" xfId="3152"/>
    <cellStyle name="集計 3 2 3 2" xfId="5425"/>
    <cellStyle name="集計 3 2 3 2 2" xfId="8217"/>
    <cellStyle name="集計 3 2 3 3" xfId="7250"/>
    <cellStyle name="集計 3 2 4" xfId="2314"/>
    <cellStyle name="集計 3 2 4 2" xfId="6979"/>
    <cellStyle name="集計 3 2 5" xfId="2077"/>
    <cellStyle name="集計 3 3" xfId="2406"/>
    <cellStyle name="集計 3 3 2" xfId="3508"/>
    <cellStyle name="集計 3 3 2 2" xfId="5781"/>
    <cellStyle name="集計 3 3 2 2 2" xfId="8487"/>
    <cellStyle name="集計 3 3 2 3" xfId="7520"/>
    <cellStyle name="集計 3 3 3" xfId="3321"/>
    <cellStyle name="集計 3 3 3 2" xfId="5594"/>
    <cellStyle name="集計 3 3 3 2 2" xfId="8349"/>
    <cellStyle name="集計 3 3 3 3" xfId="7382"/>
    <cellStyle name="集計 3 3 4" xfId="3732"/>
    <cellStyle name="集計 3 3 4 2" xfId="6005"/>
    <cellStyle name="集計 3 3 4 2 2" xfId="8625"/>
    <cellStyle name="集計 3 3 4 3" xfId="7658"/>
    <cellStyle name="集計 3 3 5" xfId="3900"/>
    <cellStyle name="集計 3 3 5 2" xfId="6173"/>
    <cellStyle name="集計 3 3 5 2 2" xfId="8791"/>
    <cellStyle name="集計 3 3 5 3" xfId="7824"/>
    <cellStyle name="集計 3 3 6" xfId="3968"/>
    <cellStyle name="集計 3 3 6 2" xfId="6241"/>
    <cellStyle name="集計 3 3 6 2 2" xfId="8859"/>
    <cellStyle name="集計 3 3 6 3" xfId="7892"/>
    <cellStyle name="集計 3 3 7" xfId="4687"/>
    <cellStyle name="集計 3 3 7 2" xfId="8082"/>
    <cellStyle name="集計 3 3 8" xfId="7115"/>
    <cellStyle name="集計 3 4" xfId="3151"/>
    <cellStyle name="集計 3 4 2" xfId="5424"/>
    <cellStyle name="集計 3 4 2 2" xfId="8216"/>
    <cellStyle name="集計 3 4 3" xfId="7249"/>
    <cellStyle name="集計 3 5" xfId="2313"/>
    <cellStyle name="集計 3 5 2" xfId="6978"/>
    <cellStyle name="集計 3 6" xfId="2076"/>
    <cellStyle name="集計 4" xfId="1133"/>
    <cellStyle name="集計 4 2" xfId="2408"/>
    <cellStyle name="集計 4 2 2" xfId="3510"/>
    <cellStyle name="集計 4 2 2 2" xfId="5783"/>
    <cellStyle name="集計 4 2 2 2 2" xfId="8489"/>
    <cellStyle name="集計 4 2 2 3" xfId="7522"/>
    <cellStyle name="集計 4 2 3" xfId="3323"/>
    <cellStyle name="集計 4 2 3 2" xfId="5596"/>
    <cellStyle name="集計 4 2 3 2 2" xfId="8351"/>
    <cellStyle name="集計 4 2 3 3" xfId="7384"/>
    <cellStyle name="集計 4 2 4" xfId="3734"/>
    <cellStyle name="集計 4 2 4 2" xfId="6007"/>
    <cellStyle name="集計 4 2 4 2 2" xfId="8627"/>
    <cellStyle name="集計 4 2 4 3" xfId="7660"/>
    <cellStyle name="集計 4 2 5" xfId="3941"/>
    <cellStyle name="集計 4 2 5 2" xfId="6214"/>
    <cellStyle name="集計 4 2 5 2 2" xfId="8832"/>
    <cellStyle name="集計 4 2 5 3" xfId="7865"/>
    <cellStyle name="集計 4 2 6" xfId="3945"/>
    <cellStyle name="集計 4 2 6 2" xfId="6218"/>
    <cellStyle name="集計 4 2 6 2 2" xfId="8836"/>
    <cellStyle name="集計 4 2 6 3" xfId="7869"/>
    <cellStyle name="集計 4 2 7" xfId="4689"/>
    <cellStyle name="集計 4 2 7 2" xfId="8084"/>
    <cellStyle name="集計 4 2 8" xfId="7117"/>
    <cellStyle name="集計 4 3" xfId="3153"/>
    <cellStyle name="集計 4 3 2" xfId="5426"/>
    <cellStyle name="集計 4 3 2 2" xfId="8218"/>
    <cellStyle name="集計 4 3 3" xfId="7251"/>
    <cellStyle name="集計 4 4" xfId="2315"/>
    <cellStyle name="集計 4 4 2" xfId="6980"/>
    <cellStyle name="集計 4 5" xfId="2078"/>
    <cellStyle name="集計 5" xfId="1134"/>
    <cellStyle name="集計 5 2" xfId="2401"/>
    <cellStyle name="集計 5 2 2" xfId="3503"/>
    <cellStyle name="集計 5 2 2 2" xfId="5776"/>
    <cellStyle name="集計 5 2 2 2 2" xfId="8482"/>
    <cellStyle name="集計 5 2 2 3" xfId="7515"/>
    <cellStyle name="集計 5 2 3" xfId="3317"/>
    <cellStyle name="集計 5 2 3 2" xfId="5590"/>
    <cellStyle name="集計 5 2 3 2 2" xfId="8345"/>
    <cellStyle name="集計 5 2 3 3" xfId="7378"/>
    <cellStyle name="集計 5 2 4" xfId="3727"/>
    <cellStyle name="集計 5 2 4 2" xfId="6000"/>
    <cellStyle name="集計 5 2 4 2 2" xfId="8620"/>
    <cellStyle name="集計 5 2 4 3" xfId="7653"/>
    <cellStyle name="集計 5 2 5" xfId="3933"/>
    <cellStyle name="集計 5 2 5 2" xfId="6206"/>
    <cellStyle name="集計 5 2 5 2 2" xfId="8824"/>
    <cellStyle name="集計 5 2 5 3" xfId="7857"/>
    <cellStyle name="集計 5 2 6" xfId="3824"/>
    <cellStyle name="集計 5 2 6 2" xfId="6097"/>
    <cellStyle name="集計 5 2 6 2 2" xfId="8715"/>
    <cellStyle name="集計 5 2 6 3" xfId="7748"/>
    <cellStyle name="集計 5 2 7" xfId="4682"/>
    <cellStyle name="集計 5 2 7 2" xfId="8077"/>
    <cellStyle name="集計 5 2 8" xfId="7110"/>
    <cellStyle name="集計 5 3" xfId="3146"/>
    <cellStyle name="集計 5 3 2" xfId="5419"/>
    <cellStyle name="集計 5 3 2 2" xfId="8211"/>
    <cellStyle name="集計 5 3 3" xfId="7244"/>
    <cellStyle name="集計 5 4" xfId="2308"/>
    <cellStyle name="集計 5 4 2" xfId="6973"/>
    <cellStyle name="集計 5 5" xfId="2071"/>
    <cellStyle name="出力 2" xfId="1135"/>
    <cellStyle name="出力 2 2" xfId="1136"/>
    <cellStyle name="出力 2 2 2" xfId="2411"/>
    <cellStyle name="出力 2 2 2 2" xfId="3513"/>
    <cellStyle name="出力 2 2 2 2 2" xfId="5786"/>
    <cellStyle name="出力 2 2 2 2 2 2" xfId="8492"/>
    <cellStyle name="出力 2 2 2 2 3" xfId="7525"/>
    <cellStyle name="出力 2 2 2 3" xfId="3327"/>
    <cellStyle name="出力 2 2 2 3 2" xfId="5600"/>
    <cellStyle name="出力 2 2 2 3 2 2" xfId="8355"/>
    <cellStyle name="出力 2 2 2 3 3" xfId="7388"/>
    <cellStyle name="出力 2 2 2 4" xfId="3737"/>
    <cellStyle name="出力 2 2 2 4 2" xfId="6010"/>
    <cellStyle name="出力 2 2 2 4 2 2" xfId="8630"/>
    <cellStyle name="出力 2 2 2 4 3" xfId="7663"/>
    <cellStyle name="出力 2 2 2 5" xfId="3963"/>
    <cellStyle name="出力 2 2 2 5 2" xfId="6236"/>
    <cellStyle name="出力 2 2 2 5 2 2" xfId="8854"/>
    <cellStyle name="出力 2 2 2 5 3" xfId="7887"/>
    <cellStyle name="出力 2 2 2 6" xfId="3831"/>
    <cellStyle name="出力 2 2 2 6 2" xfId="6104"/>
    <cellStyle name="出力 2 2 2 6 2 2" xfId="8722"/>
    <cellStyle name="出力 2 2 2 6 3" xfId="7755"/>
    <cellStyle name="出力 2 2 2 7" xfId="4692"/>
    <cellStyle name="出力 2 2 2 7 2" xfId="8087"/>
    <cellStyle name="出力 2 2 2 8" xfId="7120"/>
    <cellStyle name="出力 2 2 3" xfId="3156"/>
    <cellStyle name="出力 2 2 3 2" xfId="5429"/>
    <cellStyle name="出力 2 2 3 2 2" xfId="8221"/>
    <cellStyle name="出力 2 2 3 3" xfId="7254"/>
    <cellStyle name="出力 2 2 4" xfId="2318"/>
    <cellStyle name="出力 2 2 4 2" xfId="6983"/>
    <cellStyle name="出力 2 2 5" xfId="2081"/>
    <cellStyle name="出力 2 3" xfId="1137"/>
    <cellStyle name="出力 2 3 2" xfId="2412"/>
    <cellStyle name="出力 2 3 2 2" xfId="3514"/>
    <cellStyle name="出力 2 3 2 2 2" xfId="5787"/>
    <cellStyle name="出力 2 3 2 2 2 2" xfId="8493"/>
    <cellStyle name="出力 2 3 2 2 3" xfId="7526"/>
    <cellStyle name="出力 2 3 2 3" xfId="3228"/>
    <cellStyle name="出力 2 3 2 3 2" xfId="5501"/>
    <cellStyle name="出力 2 3 2 3 2 2" xfId="8293"/>
    <cellStyle name="出力 2 3 2 3 3" xfId="7326"/>
    <cellStyle name="出力 2 3 2 4" xfId="3738"/>
    <cellStyle name="出力 2 3 2 4 2" xfId="6011"/>
    <cellStyle name="出力 2 3 2 4 2 2" xfId="8631"/>
    <cellStyle name="出力 2 3 2 4 3" xfId="7664"/>
    <cellStyle name="出力 2 3 2 5" xfId="3943"/>
    <cellStyle name="出力 2 3 2 5 2" xfId="6216"/>
    <cellStyle name="出力 2 3 2 5 2 2" xfId="8834"/>
    <cellStyle name="出力 2 3 2 5 3" xfId="7867"/>
    <cellStyle name="出力 2 3 2 6" xfId="3966"/>
    <cellStyle name="出力 2 3 2 6 2" xfId="6239"/>
    <cellStyle name="出力 2 3 2 6 2 2" xfId="8857"/>
    <cellStyle name="出力 2 3 2 6 3" xfId="7890"/>
    <cellStyle name="出力 2 3 2 7" xfId="4693"/>
    <cellStyle name="出力 2 3 2 7 2" xfId="8088"/>
    <cellStyle name="出力 2 3 2 8" xfId="7121"/>
    <cellStyle name="出力 2 3 3" xfId="3157"/>
    <cellStyle name="出力 2 3 3 2" xfId="5430"/>
    <cellStyle name="出力 2 3 3 2 2" xfId="8222"/>
    <cellStyle name="出力 2 3 3 3" xfId="7255"/>
    <cellStyle name="出力 2 3 4" xfId="2319"/>
    <cellStyle name="出力 2 3 4 2" xfId="6984"/>
    <cellStyle name="出力 2 3 5" xfId="2082"/>
    <cellStyle name="出力 2 4" xfId="1138"/>
    <cellStyle name="出力 2 4 2" xfId="2413"/>
    <cellStyle name="出力 2 4 2 2" xfId="3515"/>
    <cellStyle name="出力 2 4 2 2 2" xfId="5788"/>
    <cellStyle name="出力 2 4 2 2 2 2" xfId="8494"/>
    <cellStyle name="出力 2 4 2 2 3" xfId="7527"/>
    <cellStyle name="出力 2 4 2 3" xfId="3229"/>
    <cellStyle name="出力 2 4 2 3 2" xfId="5502"/>
    <cellStyle name="出力 2 4 2 3 2 2" xfId="8294"/>
    <cellStyle name="出力 2 4 2 3 3" xfId="7327"/>
    <cellStyle name="出力 2 4 2 4" xfId="3739"/>
    <cellStyle name="出力 2 4 2 4 2" xfId="6012"/>
    <cellStyle name="出力 2 4 2 4 2 2" xfId="8632"/>
    <cellStyle name="出力 2 4 2 4 3" xfId="7665"/>
    <cellStyle name="出力 2 4 2 5" xfId="3964"/>
    <cellStyle name="出力 2 4 2 5 2" xfId="6237"/>
    <cellStyle name="出力 2 4 2 5 2 2" xfId="8855"/>
    <cellStyle name="出力 2 4 2 5 3" xfId="7888"/>
    <cellStyle name="出力 2 4 2 6" xfId="3835"/>
    <cellStyle name="出力 2 4 2 6 2" xfId="6108"/>
    <cellStyle name="出力 2 4 2 6 2 2" xfId="8726"/>
    <cellStyle name="出力 2 4 2 6 3" xfId="7759"/>
    <cellStyle name="出力 2 4 2 7" xfId="4694"/>
    <cellStyle name="出力 2 4 2 7 2" xfId="8089"/>
    <cellStyle name="出力 2 4 2 8" xfId="7122"/>
    <cellStyle name="出力 2 4 3" xfId="3158"/>
    <cellStyle name="出力 2 4 3 2" xfId="5431"/>
    <cellStyle name="出力 2 4 3 2 2" xfId="8223"/>
    <cellStyle name="出力 2 4 3 3" xfId="7256"/>
    <cellStyle name="出力 2 4 4" xfId="2320"/>
    <cellStyle name="出力 2 4 4 2" xfId="6985"/>
    <cellStyle name="出力 2 4 5" xfId="2083"/>
    <cellStyle name="出力 2 5" xfId="2410"/>
    <cellStyle name="出力 2 5 2" xfId="3512"/>
    <cellStyle name="出力 2 5 2 2" xfId="5785"/>
    <cellStyle name="出力 2 5 2 2 2" xfId="8491"/>
    <cellStyle name="出力 2 5 2 3" xfId="7524"/>
    <cellStyle name="出力 2 5 3" xfId="3326"/>
    <cellStyle name="出力 2 5 3 2" xfId="5599"/>
    <cellStyle name="出力 2 5 3 2 2" xfId="8354"/>
    <cellStyle name="出力 2 5 3 3" xfId="7387"/>
    <cellStyle name="出力 2 5 4" xfId="3736"/>
    <cellStyle name="出力 2 5 4 2" xfId="6009"/>
    <cellStyle name="出力 2 5 4 2 2" xfId="8629"/>
    <cellStyle name="出力 2 5 4 3" xfId="7662"/>
    <cellStyle name="出力 2 5 5" xfId="3942"/>
    <cellStyle name="出力 2 5 5 2" xfId="6215"/>
    <cellStyle name="出力 2 5 5 2 2" xfId="8833"/>
    <cellStyle name="出力 2 5 5 3" xfId="7866"/>
    <cellStyle name="出力 2 5 6" xfId="3951"/>
    <cellStyle name="出力 2 5 6 2" xfId="6224"/>
    <cellStyle name="出力 2 5 6 2 2" xfId="8842"/>
    <cellStyle name="出力 2 5 6 3" xfId="7875"/>
    <cellStyle name="出力 2 5 7" xfId="4691"/>
    <cellStyle name="出力 2 5 7 2" xfId="8086"/>
    <cellStyle name="出力 2 5 8" xfId="7119"/>
    <cellStyle name="出力 2 6" xfId="3155"/>
    <cellStyle name="出力 2 6 2" xfId="5428"/>
    <cellStyle name="出力 2 6 2 2" xfId="8220"/>
    <cellStyle name="出力 2 6 3" xfId="7253"/>
    <cellStyle name="出力 2 7" xfId="2317"/>
    <cellStyle name="出力 2 7 2" xfId="6982"/>
    <cellStyle name="出力 2 8" xfId="2080"/>
    <cellStyle name="出力 3" xfId="1139"/>
    <cellStyle name="出力 3 2" xfId="1140"/>
    <cellStyle name="出力 3 2 2" xfId="2415"/>
    <cellStyle name="出力 3 2 2 2" xfId="3517"/>
    <cellStyle name="出力 3 2 2 2 2" xfId="5790"/>
    <cellStyle name="出力 3 2 2 2 2 2" xfId="8496"/>
    <cellStyle name="出力 3 2 2 2 3" xfId="7529"/>
    <cellStyle name="出力 3 2 2 3" xfId="3329"/>
    <cellStyle name="出力 3 2 2 3 2" xfId="5602"/>
    <cellStyle name="出力 3 2 2 3 2 2" xfId="8357"/>
    <cellStyle name="出力 3 2 2 3 3" xfId="7390"/>
    <cellStyle name="出力 3 2 2 4" xfId="3741"/>
    <cellStyle name="出力 3 2 2 4 2" xfId="6014"/>
    <cellStyle name="出力 3 2 2 4 2 2" xfId="8634"/>
    <cellStyle name="出力 3 2 2 4 3" xfId="7667"/>
    <cellStyle name="出力 3 2 2 5" xfId="3905"/>
    <cellStyle name="出力 3 2 2 5 2" xfId="6178"/>
    <cellStyle name="出力 3 2 2 5 2 2" xfId="8796"/>
    <cellStyle name="出力 3 2 2 5 3" xfId="7829"/>
    <cellStyle name="出力 3 2 2 6" xfId="3813"/>
    <cellStyle name="出力 3 2 2 6 2" xfId="6086"/>
    <cellStyle name="出力 3 2 2 6 2 2" xfId="8704"/>
    <cellStyle name="出力 3 2 2 6 3" xfId="7737"/>
    <cellStyle name="出力 3 2 2 7" xfId="4696"/>
    <cellStyle name="出力 3 2 2 7 2" xfId="8091"/>
    <cellStyle name="出力 3 2 2 8" xfId="7124"/>
    <cellStyle name="出力 3 2 3" xfId="3160"/>
    <cellStyle name="出力 3 2 3 2" xfId="5433"/>
    <cellStyle name="出力 3 2 3 2 2" xfId="8225"/>
    <cellStyle name="出力 3 2 3 3" xfId="7258"/>
    <cellStyle name="出力 3 2 4" xfId="2322"/>
    <cellStyle name="出力 3 2 4 2" xfId="6987"/>
    <cellStyle name="出力 3 2 5" xfId="2085"/>
    <cellStyle name="出力 3 3" xfId="2414"/>
    <cellStyle name="出力 3 3 2" xfId="3516"/>
    <cellStyle name="出力 3 3 2 2" xfId="5789"/>
    <cellStyle name="出力 3 3 2 2 2" xfId="8495"/>
    <cellStyle name="出力 3 3 2 3" xfId="7528"/>
    <cellStyle name="出力 3 3 3" xfId="3328"/>
    <cellStyle name="出力 3 3 3 2" xfId="5601"/>
    <cellStyle name="出力 3 3 3 2 2" xfId="8356"/>
    <cellStyle name="出力 3 3 3 3" xfId="7389"/>
    <cellStyle name="出力 3 3 4" xfId="3740"/>
    <cellStyle name="出力 3 3 4 2" xfId="6013"/>
    <cellStyle name="出力 3 3 4 2 2" xfId="8633"/>
    <cellStyle name="出力 3 3 4 3" xfId="7666"/>
    <cellStyle name="出力 3 3 5" xfId="3773"/>
    <cellStyle name="出力 3 3 5 2" xfId="6046"/>
    <cellStyle name="出力 3 3 5 2 2" xfId="8664"/>
    <cellStyle name="出力 3 3 5 3" xfId="7697"/>
    <cellStyle name="出力 3 3 6" xfId="3969"/>
    <cellStyle name="出力 3 3 6 2" xfId="6242"/>
    <cellStyle name="出力 3 3 6 2 2" xfId="8860"/>
    <cellStyle name="出力 3 3 6 3" xfId="7893"/>
    <cellStyle name="出力 3 3 7" xfId="4695"/>
    <cellStyle name="出力 3 3 7 2" xfId="8090"/>
    <cellStyle name="出力 3 3 8" xfId="7123"/>
    <cellStyle name="出力 3 4" xfId="3159"/>
    <cellStyle name="出力 3 4 2" xfId="5432"/>
    <cellStyle name="出力 3 4 2 2" xfId="8224"/>
    <cellStyle name="出力 3 4 3" xfId="7257"/>
    <cellStyle name="出力 3 5" xfId="2321"/>
    <cellStyle name="出力 3 5 2" xfId="6986"/>
    <cellStyle name="出力 3 6" xfId="2084"/>
    <cellStyle name="出力 4" xfId="1141"/>
    <cellStyle name="出力 4 2" xfId="2416"/>
    <cellStyle name="出力 4 2 2" xfId="3518"/>
    <cellStyle name="出力 4 2 2 2" xfId="5791"/>
    <cellStyle name="出力 4 2 2 2 2" xfId="8497"/>
    <cellStyle name="出力 4 2 2 3" xfId="7530"/>
    <cellStyle name="出力 4 2 3" xfId="3330"/>
    <cellStyle name="出力 4 2 3 2" xfId="5603"/>
    <cellStyle name="出力 4 2 3 2 2" xfId="8358"/>
    <cellStyle name="出力 4 2 3 3" xfId="7391"/>
    <cellStyle name="出力 4 2 4" xfId="3742"/>
    <cellStyle name="出力 4 2 4 2" xfId="6015"/>
    <cellStyle name="出力 4 2 4 2 2" xfId="8635"/>
    <cellStyle name="出力 4 2 4 3" xfId="7668"/>
    <cellStyle name="出力 4 2 5" xfId="3901"/>
    <cellStyle name="出力 4 2 5 2" xfId="6174"/>
    <cellStyle name="出力 4 2 5 2 2" xfId="8792"/>
    <cellStyle name="出力 4 2 5 3" xfId="7825"/>
    <cellStyle name="出力 4 2 6" xfId="3782"/>
    <cellStyle name="出力 4 2 6 2" xfId="6055"/>
    <cellStyle name="出力 4 2 6 2 2" xfId="8673"/>
    <cellStyle name="出力 4 2 6 3" xfId="7706"/>
    <cellStyle name="出力 4 2 7" xfId="4697"/>
    <cellStyle name="出力 4 2 7 2" xfId="8092"/>
    <cellStyle name="出力 4 2 8" xfId="7125"/>
    <cellStyle name="出力 4 3" xfId="3161"/>
    <cellStyle name="出力 4 3 2" xfId="5434"/>
    <cellStyle name="出力 4 3 2 2" xfId="8226"/>
    <cellStyle name="出力 4 3 3" xfId="7259"/>
    <cellStyle name="出力 4 4" xfId="2323"/>
    <cellStyle name="出力 4 4 2" xfId="6988"/>
    <cellStyle name="出力 4 5" xfId="2086"/>
    <cellStyle name="出力 5" xfId="1142"/>
    <cellStyle name="出力 5 2" xfId="2409"/>
    <cellStyle name="出力 5 2 2" xfId="3511"/>
    <cellStyle name="出力 5 2 2 2" xfId="5784"/>
    <cellStyle name="出力 5 2 2 2 2" xfId="8490"/>
    <cellStyle name="出力 5 2 2 3" xfId="7523"/>
    <cellStyle name="出力 5 2 3" xfId="3325"/>
    <cellStyle name="出力 5 2 3 2" xfId="5598"/>
    <cellStyle name="出力 5 2 3 2 2" xfId="8353"/>
    <cellStyle name="出力 5 2 3 3" xfId="7386"/>
    <cellStyle name="出力 5 2 4" xfId="3735"/>
    <cellStyle name="出力 5 2 4 2" xfId="6008"/>
    <cellStyle name="出力 5 2 4 2 2" xfId="8628"/>
    <cellStyle name="出力 5 2 4 3" xfId="7661"/>
    <cellStyle name="出力 5 2 5" xfId="3962"/>
    <cellStyle name="出力 5 2 5 2" xfId="6235"/>
    <cellStyle name="出力 5 2 5 2 2" xfId="8853"/>
    <cellStyle name="出力 5 2 5 3" xfId="7886"/>
    <cellStyle name="出力 5 2 6" xfId="3836"/>
    <cellStyle name="出力 5 2 6 2" xfId="6109"/>
    <cellStyle name="出力 5 2 6 2 2" xfId="8727"/>
    <cellStyle name="出力 5 2 6 3" xfId="7760"/>
    <cellStyle name="出力 5 2 7" xfId="4690"/>
    <cellStyle name="出力 5 2 7 2" xfId="8085"/>
    <cellStyle name="出力 5 2 8" xfId="7118"/>
    <cellStyle name="出力 5 3" xfId="3154"/>
    <cellStyle name="出力 5 3 2" xfId="5427"/>
    <cellStyle name="出力 5 3 2 2" xfId="8219"/>
    <cellStyle name="出力 5 3 3" xfId="7252"/>
    <cellStyle name="出力 5 4" xfId="2316"/>
    <cellStyle name="出力 5 4 2" xfId="6981"/>
    <cellStyle name="出力 5 5" xfId="2079"/>
    <cellStyle name="少数１位" xfId="1143"/>
    <cellStyle name="少数２位" xfId="1144"/>
    <cellStyle name="症例一覧用" xfId="1145"/>
    <cellStyle name="常?_3.RICコード_検索コード対応一覧" xfId="1146"/>
    <cellStyle name="常规_07332 100部店超対応_総合テスト（EC）PH2" xfId="1147"/>
    <cellStyle name="人月" xfId="1148"/>
    <cellStyle name="整数値" xfId="1149"/>
    <cellStyle name="青" xfId="1150"/>
    <cellStyle name="赤" xfId="1151"/>
    <cellStyle name="設計書形式1" xfId="1152"/>
    <cellStyle name="設計書形式1 2" xfId="2417"/>
    <cellStyle name="設計書形式1 2 2" xfId="4698"/>
    <cellStyle name="設計書形式1 2 2 2" xfId="8093"/>
    <cellStyle name="設計書形式1 2 2 3" xfId="11653"/>
    <cellStyle name="設計書形式1 2 3" xfId="7126"/>
    <cellStyle name="設計書形式1 2 4" xfId="11644"/>
    <cellStyle name="設計書形式1 3" xfId="2324"/>
    <cellStyle name="設計書形式1 3 2" xfId="6989"/>
    <cellStyle name="設計書形式1 3 3" xfId="11641"/>
    <cellStyle name="設計書形式1 4" xfId="4484"/>
    <cellStyle name="設計書形式1 4 2" xfId="7968"/>
    <cellStyle name="設計書形式1 4 3" xfId="11649"/>
    <cellStyle name="設計書形式1 5" xfId="2093"/>
    <cellStyle name="設計書形式1 6" xfId="11564"/>
    <cellStyle name="説明文 2" xfId="1153"/>
    <cellStyle name="説明文 2 2" xfId="1154"/>
    <cellStyle name="説明文 2 3" xfId="1155"/>
    <cellStyle name="説明文 2 4" xfId="1156"/>
    <cellStyle name="説明文 3" xfId="1157"/>
    <cellStyle name="説明文 4" xfId="1158"/>
    <cellStyle name="説明文 5" xfId="1159"/>
    <cellStyle name="脱浦 [0.00]_・継事項" xfId="1160"/>
    <cellStyle name="脱浦_，×2±YAO￣?°?T" xfId="1161"/>
    <cellStyle name="弾訊" xfId="1162"/>
    <cellStyle name="帳票" xfId="1163"/>
    <cellStyle name="帳票 2" xfId="1164"/>
    <cellStyle name="帳票 2 2" xfId="1165"/>
    <cellStyle name="帳票 2 3" xfId="1166"/>
    <cellStyle name="超链接_Javaクラス仕様書（ユーティリティ）" xfId="1167"/>
    <cellStyle name="通貨 [0.00" xfId="1168"/>
    <cellStyle name="通貨 [0.00 2" xfId="1169"/>
    <cellStyle name="通貨 [0.00 3" xfId="1170"/>
    <cellStyle name="通貨 [0.00 4" xfId="1171"/>
    <cellStyle name="通貨 [0.00 5" xfId="1172"/>
    <cellStyle name="通貨 [0.00 6" xfId="1173"/>
    <cellStyle name="通貨 2" xfId="1174"/>
    <cellStyle name="通貨 2 2" xfId="1175"/>
    <cellStyle name="通貨 2 3" xfId="1176"/>
    <cellStyle name="通貨 3" xfId="1177"/>
    <cellStyle name="通貨 4" xfId="1178"/>
    <cellStyle name="通貨 5" xfId="1179"/>
    <cellStyle name="底線" xfId="1180"/>
    <cellStyle name="入力 2" xfId="1181"/>
    <cellStyle name="入力 2 2" xfId="1182"/>
    <cellStyle name="入力 2 2 2" xfId="2420"/>
    <cellStyle name="入力 2 2 2 2" xfId="3521"/>
    <cellStyle name="入力 2 2 2 2 2" xfId="5794"/>
    <cellStyle name="入力 2 2 2 2 2 2" xfId="8500"/>
    <cellStyle name="入力 2 2 2 2 3" xfId="7533"/>
    <cellStyle name="入力 2 2 2 3" xfId="3333"/>
    <cellStyle name="入力 2 2 2 3 2" xfId="5606"/>
    <cellStyle name="入力 2 2 2 3 2 2" xfId="8361"/>
    <cellStyle name="入力 2 2 2 3 3" xfId="7394"/>
    <cellStyle name="入力 2 2 2 4" xfId="3745"/>
    <cellStyle name="入力 2 2 2 4 2" xfId="6018"/>
    <cellStyle name="入力 2 2 2 4 2 2" xfId="8638"/>
    <cellStyle name="入力 2 2 2 4 3" xfId="7671"/>
    <cellStyle name="入力 2 2 2 5" xfId="3902"/>
    <cellStyle name="入力 2 2 2 5 2" xfId="6175"/>
    <cellStyle name="入力 2 2 2 5 2 2" xfId="8793"/>
    <cellStyle name="入力 2 2 2 5 3" xfId="7826"/>
    <cellStyle name="入力 2 2 2 6" xfId="4098"/>
    <cellStyle name="入力 2 2 2 6 2" xfId="6371"/>
    <cellStyle name="入力 2 2 2 6 2 2" xfId="8903"/>
    <cellStyle name="入力 2 2 2 6 3" xfId="7936"/>
    <cellStyle name="入力 2 2 2 7" xfId="4701"/>
    <cellStyle name="入力 2 2 2 7 2" xfId="8096"/>
    <cellStyle name="入力 2 2 2 8" xfId="7129"/>
    <cellStyle name="入力 2 2 3" xfId="3164"/>
    <cellStyle name="入力 2 2 3 2" xfId="5437"/>
    <cellStyle name="入力 2 2 3 2 2" xfId="8229"/>
    <cellStyle name="入力 2 2 3 3" xfId="7262"/>
    <cellStyle name="入力 2 2 4" xfId="2327"/>
    <cellStyle name="入力 2 2 4 2" xfId="6992"/>
    <cellStyle name="入力 2 2 5" xfId="2390"/>
    <cellStyle name="入力 2 3" xfId="1183"/>
    <cellStyle name="入力 2 3 2" xfId="2421"/>
    <cellStyle name="入力 2 3 2 2" xfId="3522"/>
    <cellStyle name="入力 2 3 2 2 2" xfId="5795"/>
    <cellStyle name="入力 2 3 2 2 2 2" xfId="8501"/>
    <cellStyle name="入力 2 3 2 2 3" xfId="7534"/>
    <cellStyle name="入力 2 3 2 3" xfId="3334"/>
    <cellStyle name="入力 2 3 2 3 2" xfId="5607"/>
    <cellStyle name="入力 2 3 2 3 2 2" xfId="8362"/>
    <cellStyle name="入力 2 3 2 3 3" xfId="7395"/>
    <cellStyle name="入力 2 3 2 4" xfId="3746"/>
    <cellStyle name="入力 2 3 2 4 2" xfId="6019"/>
    <cellStyle name="入力 2 3 2 4 2 2" xfId="8639"/>
    <cellStyle name="入力 2 3 2 4 3" xfId="7672"/>
    <cellStyle name="入力 2 3 2 5" xfId="3903"/>
    <cellStyle name="入力 2 3 2 5 2" xfId="6176"/>
    <cellStyle name="入力 2 3 2 5 2 2" xfId="8794"/>
    <cellStyle name="入力 2 3 2 5 3" xfId="7827"/>
    <cellStyle name="入力 2 3 2 6" xfId="4095"/>
    <cellStyle name="入力 2 3 2 6 2" xfId="6368"/>
    <cellStyle name="入力 2 3 2 6 2 2" xfId="8900"/>
    <cellStyle name="入力 2 3 2 6 3" xfId="7933"/>
    <cellStyle name="入力 2 3 2 7" xfId="4702"/>
    <cellStyle name="入力 2 3 2 7 2" xfId="8097"/>
    <cellStyle name="入力 2 3 2 8" xfId="7130"/>
    <cellStyle name="入力 2 3 3" xfId="3165"/>
    <cellStyle name="入力 2 3 3 2" xfId="5438"/>
    <cellStyle name="入力 2 3 3 2 2" xfId="8230"/>
    <cellStyle name="入力 2 3 3 3" xfId="7263"/>
    <cellStyle name="入力 2 3 4" xfId="2328"/>
    <cellStyle name="入力 2 3 4 2" xfId="6993"/>
    <cellStyle name="入力 2 3 5" xfId="2389"/>
    <cellStyle name="入力 2 4" xfId="1184"/>
    <cellStyle name="入力 2 4 2" xfId="2422"/>
    <cellStyle name="入力 2 4 2 2" xfId="3523"/>
    <cellStyle name="入力 2 4 2 2 2" xfId="5796"/>
    <cellStyle name="入力 2 4 2 2 2 2" xfId="8502"/>
    <cellStyle name="入力 2 4 2 2 3" xfId="7535"/>
    <cellStyle name="入力 2 4 2 3" xfId="3335"/>
    <cellStyle name="入力 2 4 2 3 2" xfId="5608"/>
    <cellStyle name="入力 2 4 2 3 2 2" xfId="8363"/>
    <cellStyle name="入力 2 4 2 3 3" xfId="7396"/>
    <cellStyle name="入力 2 4 2 4" xfId="3747"/>
    <cellStyle name="入力 2 4 2 4 2" xfId="6020"/>
    <cellStyle name="入力 2 4 2 4 2 2" xfId="8640"/>
    <cellStyle name="入力 2 4 2 4 3" xfId="7673"/>
    <cellStyle name="入力 2 4 2 5" xfId="3904"/>
    <cellStyle name="入力 2 4 2 5 2" xfId="6177"/>
    <cellStyle name="入力 2 4 2 5 2 2" xfId="8795"/>
    <cellStyle name="入力 2 4 2 5 3" xfId="7828"/>
    <cellStyle name="入力 2 4 2 6" xfId="3774"/>
    <cellStyle name="入力 2 4 2 6 2" xfId="6047"/>
    <cellStyle name="入力 2 4 2 6 2 2" xfId="8665"/>
    <cellStyle name="入力 2 4 2 6 3" xfId="7698"/>
    <cellStyle name="入力 2 4 2 7" xfId="4703"/>
    <cellStyle name="入力 2 4 2 7 2" xfId="8098"/>
    <cellStyle name="入力 2 4 2 8" xfId="7131"/>
    <cellStyle name="入力 2 4 3" xfId="3166"/>
    <cellStyle name="入力 2 4 3 2" xfId="5439"/>
    <cellStyle name="入力 2 4 3 2 2" xfId="8231"/>
    <cellStyle name="入力 2 4 3 3" xfId="7264"/>
    <cellStyle name="入力 2 4 4" xfId="2329"/>
    <cellStyle name="入力 2 4 4 2" xfId="6994"/>
    <cellStyle name="入力 2 4 5" xfId="2388"/>
    <cellStyle name="入力 2 5" xfId="2419"/>
    <cellStyle name="入力 2 5 2" xfId="3520"/>
    <cellStyle name="入力 2 5 2 2" xfId="5793"/>
    <cellStyle name="入力 2 5 2 2 2" xfId="8499"/>
    <cellStyle name="入力 2 5 2 3" xfId="7532"/>
    <cellStyle name="入力 2 5 3" xfId="3332"/>
    <cellStyle name="入力 2 5 3 2" xfId="5605"/>
    <cellStyle name="入力 2 5 3 2 2" xfId="8360"/>
    <cellStyle name="入力 2 5 3 3" xfId="7393"/>
    <cellStyle name="入力 2 5 4" xfId="3744"/>
    <cellStyle name="入力 2 5 4 2" xfId="6017"/>
    <cellStyle name="入力 2 5 4 2 2" xfId="8637"/>
    <cellStyle name="入力 2 5 4 3" xfId="7670"/>
    <cellStyle name="入力 2 5 5" xfId="3860"/>
    <cellStyle name="入力 2 5 5 2" xfId="6133"/>
    <cellStyle name="入力 2 5 5 2 2" xfId="8751"/>
    <cellStyle name="入力 2 5 5 3" xfId="7784"/>
    <cellStyle name="入力 2 5 6" xfId="3837"/>
    <cellStyle name="入力 2 5 6 2" xfId="6110"/>
    <cellStyle name="入力 2 5 6 2 2" xfId="8728"/>
    <cellStyle name="入力 2 5 6 3" xfId="7761"/>
    <cellStyle name="入力 2 5 7" xfId="4700"/>
    <cellStyle name="入力 2 5 7 2" xfId="8095"/>
    <cellStyle name="入力 2 5 8" xfId="7128"/>
    <cellStyle name="入力 2 6" xfId="3163"/>
    <cellStyle name="入力 2 6 2" xfId="5436"/>
    <cellStyle name="入力 2 6 2 2" xfId="8228"/>
    <cellStyle name="入力 2 6 3" xfId="7261"/>
    <cellStyle name="入力 2 7" xfId="2326"/>
    <cellStyle name="入力 2 7 2" xfId="6991"/>
    <cellStyle name="入力 2 8" xfId="2384"/>
    <cellStyle name="入力 3" xfId="1185"/>
    <cellStyle name="入力 3 2" xfId="1186"/>
    <cellStyle name="入力 3 2 2" xfId="2424"/>
    <cellStyle name="入力 3 2 2 2" xfId="3525"/>
    <cellStyle name="入力 3 2 2 2 2" xfId="5798"/>
    <cellStyle name="入力 3 2 2 2 2 2" xfId="8504"/>
    <cellStyle name="入力 3 2 2 2 3" xfId="7537"/>
    <cellStyle name="入力 3 2 2 3" xfId="3337"/>
    <cellStyle name="入力 3 2 2 3 2" xfId="5610"/>
    <cellStyle name="入力 3 2 2 3 2 2" xfId="8365"/>
    <cellStyle name="入力 3 2 2 3 3" xfId="7398"/>
    <cellStyle name="入力 3 2 2 4" xfId="3749"/>
    <cellStyle name="入力 3 2 2 4 2" xfId="6022"/>
    <cellStyle name="入力 3 2 2 4 2 2" xfId="8642"/>
    <cellStyle name="入力 3 2 2 4 3" xfId="7675"/>
    <cellStyle name="入力 3 2 2 5" xfId="3906"/>
    <cellStyle name="入力 3 2 2 5 2" xfId="6179"/>
    <cellStyle name="入力 3 2 2 5 2 2" xfId="8797"/>
    <cellStyle name="入力 3 2 2 5 3" xfId="7830"/>
    <cellStyle name="入力 3 2 2 6" xfId="3862"/>
    <cellStyle name="入力 3 2 2 6 2" xfId="6135"/>
    <cellStyle name="入力 3 2 2 6 2 2" xfId="8753"/>
    <cellStyle name="入力 3 2 2 6 3" xfId="7786"/>
    <cellStyle name="入力 3 2 2 7" xfId="4705"/>
    <cellStyle name="入力 3 2 2 7 2" xfId="8100"/>
    <cellStyle name="入力 3 2 2 8" xfId="7133"/>
    <cellStyle name="入力 3 2 3" xfId="3168"/>
    <cellStyle name="入力 3 2 3 2" xfId="5441"/>
    <cellStyle name="入力 3 2 3 2 2" xfId="8233"/>
    <cellStyle name="入力 3 2 3 3" xfId="7266"/>
    <cellStyle name="入力 3 2 4" xfId="2331"/>
    <cellStyle name="入力 3 2 4 2" xfId="6996"/>
    <cellStyle name="入力 3 2 5" xfId="2386"/>
    <cellStyle name="入力 3 3" xfId="2423"/>
    <cellStyle name="入力 3 3 2" xfId="3524"/>
    <cellStyle name="入力 3 3 2 2" xfId="5797"/>
    <cellStyle name="入力 3 3 2 2 2" xfId="8503"/>
    <cellStyle name="入力 3 3 2 3" xfId="7536"/>
    <cellStyle name="入力 3 3 3" xfId="3336"/>
    <cellStyle name="入力 3 3 3 2" xfId="5609"/>
    <cellStyle name="入力 3 3 3 2 2" xfId="8364"/>
    <cellStyle name="入力 3 3 3 3" xfId="7397"/>
    <cellStyle name="入力 3 3 4" xfId="3748"/>
    <cellStyle name="入力 3 3 4 2" xfId="6021"/>
    <cellStyle name="入力 3 3 4 2 2" xfId="8641"/>
    <cellStyle name="入力 3 3 4 3" xfId="7674"/>
    <cellStyle name="入力 3 3 5" xfId="3911"/>
    <cellStyle name="入力 3 3 5 2" xfId="6184"/>
    <cellStyle name="入力 3 3 5 2 2" xfId="8802"/>
    <cellStyle name="入力 3 3 5 3" xfId="7835"/>
    <cellStyle name="入力 3 3 6" xfId="3950"/>
    <cellStyle name="入力 3 3 6 2" xfId="6223"/>
    <cellStyle name="入力 3 3 6 2 2" xfId="8841"/>
    <cellStyle name="入力 3 3 6 3" xfId="7874"/>
    <cellStyle name="入力 3 3 7" xfId="4704"/>
    <cellStyle name="入力 3 3 7 2" xfId="8099"/>
    <cellStyle name="入力 3 3 8" xfId="7132"/>
    <cellStyle name="入力 3 4" xfId="3167"/>
    <cellStyle name="入力 3 4 2" xfId="5440"/>
    <cellStyle name="入力 3 4 2 2" xfId="8232"/>
    <cellStyle name="入力 3 4 3" xfId="7265"/>
    <cellStyle name="入力 3 5" xfId="2330"/>
    <cellStyle name="入力 3 5 2" xfId="6995"/>
    <cellStyle name="入力 3 6" xfId="2387"/>
    <cellStyle name="入力 4" xfId="1187"/>
    <cellStyle name="入力 4 2" xfId="2425"/>
    <cellStyle name="入力 4 2 2" xfId="3526"/>
    <cellStyle name="入力 4 2 2 2" xfId="5799"/>
    <cellStyle name="入力 4 2 2 2 2" xfId="8505"/>
    <cellStyle name="入力 4 2 2 3" xfId="7538"/>
    <cellStyle name="入力 4 2 3" xfId="3338"/>
    <cellStyle name="入力 4 2 3 2" xfId="5611"/>
    <cellStyle name="入力 4 2 3 2 2" xfId="8366"/>
    <cellStyle name="入力 4 2 3 3" xfId="7399"/>
    <cellStyle name="入力 4 2 4" xfId="3750"/>
    <cellStyle name="入力 4 2 4 2" xfId="6023"/>
    <cellStyle name="入力 4 2 4 2 2" xfId="8643"/>
    <cellStyle name="入力 4 2 4 3" xfId="7676"/>
    <cellStyle name="入力 4 2 5" xfId="3907"/>
    <cellStyle name="入力 4 2 5 2" xfId="6180"/>
    <cellStyle name="入力 4 2 5 2 2" xfId="8798"/>
    <cellStyle name="入力 4 2 5 3" xfId="7831"/>
    <cellStyle name="入力 4 2 6" xfId="4199"/>
    <cellStyle name="入力 4 2 6 2" xfId="6472"/>
    <cellStyle name="入力 4 2 6 2 2" xfId="8918"/>
    <cellStyle name="入力 4 2 6 3" xfId="7951"/>
    <cellStyle name="入力 4 2 7" xfId="4706"/>
    <cellStyle name="入力 4 2 7 2" xfId="8101"/>
    <cellStyle name="入力 4 2 8" xfId="7134"/>
    <cellStyle name="入力 4 3" xfId="3169"/>
    <cellStyle name="入力 4 3 2" xfId="5442"/>
    <cellStyle name="入力 4 3 2 2" xfId="8234"/>
    <cellStyle name="入力 4 3 3" xfId="7267"/>
    <cellStyle name="入力 4 4" xfId="2332"/>
    <cellStyle name="入力 4 4 2" xfId="6997"/>
    <cellStyle name="入力 4 5" xfId="2385"/>
    <cellStyle name="入力 5" xfId="1188"/>
    <cellStyle name="入力 5 2" xfId="2418"/>
    <cellStyle name="入力 5 2 2" xfId="3519"/>
    <cellStyle name="入力 5 2 2 2" xfId="5792"/>
    <cellStyle name="入力 5 2 2 2 2" xfId="8498"/>
    <cellStyle name="入力 5 2 2 3" xfId="7531"/>
    <cellStyle name="入力 5 2 3" xfId="3331"/>
    <cellStyle name="入力 5 2 3 2" xfId="5604"/>
    <cellStyle name="入力 5 2 3 2 2" xfId="8359"/>
    <cellStyle name="入力 5 2 3 3" xfId="7392"/>
    <cellStyle name="入力 5 2 4" xfId="3743"/>
    <cellStyle name="入力 5 2 4 2" xfId="6016"/>
    <cellStyle name="入力 5 2 4 2 2" xfId="8636"/>
    <cellStyle name="入力 5 2 4 3" xfId="7669"/>
    <cellStyle name="入力 5 2 5" xfId="3772"/>
    <cellStyle name="入力 5 2 5 2" xfId="6045"/>
    <cellStyle name="入力 5 2 5 2 2" xfId="8663"/>
    <cellStyle name="入力 5 2 5 3" xfId="7696"/>
    <cellStyle name="入力 5 2 6" xfId="4097"/>
    <cellStyle name="入力 5 2 6 2" xfId="6370"/>
    <cellStyle name="入力 5 2 6 2 2" xfId="8902"/>
    <cellStyle name="入力 5 2 6 3" xfId="7935"/>
    <cellStyle name="入力 5 2 7" xfId="4699"/>
    <cellStyle name="入力 5 2 7 2" xfId="8094"/>
    <cellStyle name="入力 5 2 8" xfId="7127"/>
    <cellStyle name="入力 5 3" xfId="3162"/>
    <cellStyle name="入力 5 3 2" xfId="5435"/>
    <cellStyle name="入力 5 3 2 2" xfId="8227"/>
    <cellStyle name="入力 5 3 3" xfId="7260"/>
    <cellStyle name="入力 5 4" xfId="2325"/>
    <cellStyle name="入力 5 4 2" xfId="6990"/>
    <cellStyle name="入力 5 5" xfId="2391"/>
    <cellStyle name="濃い青" xfId="1189"/>
    <cellStyle name="濃い青 2" xfId="11"/>
    <cellStyle name="濃い青 3" xfId="11565"/>
    <cellStyle name="標準" xfId="0" builtinId="0"/>
    <cellStyle name="標準 10" xfId="1190"/>
    <cellStyle name="標準 10 2" xfId="1191"/>
    <cellStyle name="標準 10 2 2" xfId="1192"/>
    <cellStyle name="標準 10 2 3" xfId="1193"/>
    <cellStyle name="標準 10 2 3 2" xfId="6792"/>
    <cellStyle name="標準 10 3" xfId="1194"/>
    <cellStyle name="標準 10 4" xfId="1195"/>
    <cellStyle name="標準 10 4 2" xfId="1196"/>
    <cellStyle name="標準 10 5" xfId="6793"/>
    <cellStyle name="標準 100" xfId="2192"/>
    <cellStyle name="標準 100 10" xfId="4288"/>
    <cellStyle name="標準 100 10 2" xfId="6561"/>
    <cellStyle name="標準 100 10 2 2" xfId="11365"/>
    <cellStyle name="標準 100 10 3" xfId="10056"/>
    <cellStyle name="標準 100 11" xfId="4380"/>
    <cellStyle name="標準 100 11 2" xfId="6653"/>
    <cellStyle name="標準 100 11 2 2" xfId="11454"/>
    <cellStyle name="標準 100 11 3" xfId="10145"/>
    <cellStyle name="標準 100 12" xfId="4470"/>
    <cellStyle name="標準 100 12 2" xfId="6743"/>
    <cellStyle name="標準 100 12 2 2" xfId="11543"/>
    <cellStyle name="標準 100 12 3" xfId="10234"/>
    <cellStyle name="標準 100 13" xfId="4566"/>
    <cellStyle name="標準 100 13 2" xfId="10323"/>
    <cellStyle name="標準 100 14" xfId="9014"/>
    <cellStyle name="標準 100 2" xfId="2498"/>
    <cellStyle name="標準 100 2 2" xfId="3044"/>
    <cellStyle name="標準 100 2 2 2" xfId="5317"/>
    <cellStyle name="標準 100 2 2 2 2" xfId="10929"/>
    <cellStyle name="標準 100 2 2 3" xfId="9620"/>
    <cellStyle name="標準 100 2 3" xfId="3616"/>
    <cellStyle name="標準 100 2 3 2" xfId="5889"/>
    <cellStyle name="標準 100 2 3 2 2" xfId="11103"/>
    <cellStyle name="標準 100 2 3 3" xfId="9794"/>
    <cellStyle name="標準 100 2 4" xfId="4179"/>
    <cellStyle name="標準 100 2 4 2" xfId="6452"/>
    <cellStyle name="標準 100 2 4 2 2" xfId="11277"/>
    <cellStyle name="標準 100 2 4 3" xfId="9968"/>
    <cellStyle name="標準 100 2 5" xfId="4778"/>
    <cellStyle name="標準 100 2 5 2" xfId="10397"/>
    <cellStyle name="標準 100 2 6" xfId="9088"/>
    <cellStyle name="標準 100 3" xfId="2592"/>
    <cellStyle name="標準 100 3 2" xfId="4870"/>
    <cellStyle name="標準 100 3 2 2" xfId="10487"/>
    <cellStyle name="標準 100 3 3" xfId="9178"/>
    <cellStyle name="標準 100 4" xfId="2682"/>
    <cellStyle name="標準 100 4 2" xfId="4960"/>
    <cellStyle name="標準 100 4 2 2" xfId="10576"/>
    <cellStyle name="標準 100 4 3" xfId="9267"/>
    <cellStyle name="標準 100 5" xfId="2777"/>
    <cellStyle name="標準 100 5 2" xfId="5050"/>
    <cellStyle name="標準 100 5 2 2" xfId="10665"/>
    <cellStyle name="標準 100 5 3" xfId="9356"/>
    <cellStyle name="標準 100 6" xfId="2867"/>
    <cellStyle name="標準 100 6 2" xfId="5140"/>
    <cellStyle name="標準 100 6 2 2" xfId="10754"/>
    <cellStyle name="標準 100 6 3" xfId="9445"/>
    <cellStyle name="標準 100 7" xfId="2956"/>
    <cellStyle name="標準 100 7 2" xfId="5229"/>
    <cellStyle name="標準 100 7 2 2" xfId="10841"/>
    <cellStyle name="標準 100 7 3" xfId="9532"/>
    <cellStyle name="標準 100 8" xfId="3392"/>
    <cellStyle name="標準 100 8 2" xfId="5665"/>
    <cellStyle name="標準 100 8 2 2" xfId="11015"/>
    <cellStyle name="標準 100 8 3" xfId="9706"/>
    <cellStyle name="標準 100 9" xfId="4086"/>
    <cellStyle name="標準 100 9 2" xfId="6359"/>
    <cellStyle name="標準 100 9 2 2" xfId="11189"/>
    <cellStyle name="標準 100 9 3" xfId="9880"/>
    <cellStyle name="標準 101" xfId="2116"/>
    <cellStyle name="標準 101 2" xfId="2506"/>
    <cellStyle name="標準 102" xfId="2340"/>
    <cellStyle name="標準 102 2" xfId="2962"/>
    <cellStyle name="標準 102 2 2" xfId="5235"/>
    <cellStyle name="標準 102 2 2 2" xfId="10847"/>
    <cellStyle name="標準 102 2 3" xfId="9538"/>
    <cellStyle name="標準 102 3" xfId="3398"/>
    <cellStyle name="標準 102 3 2" xfId="5671"/>
    <cellStyle name="標準 102 3 2 2" xfId="11021"/>
    <cellStyle name="標準 102 3 3" xfId="9712"/>
    <cellStyle name="標準 102 4" xfId="4092"/>
    <cellStyle name="標準 102 4 2" xfId="6365"/>
    <cellStyle name="標準 102 4 2 2" xfId="11195"/>
    <cellStyle name="標準 102 4 3" xfId="9886"/>
    <cellStyle name="標準 102 5" xfId="4573"/>
    <cellStyle name="標準 102 5 2" xfId="10330"/>
    <cellStyle name="標準 102 6" xfId="9021"/>
    <cellStyle name="標準 103" xfId="2508"/>
    <cellStyle name="標準 103 2" xfId="4786"/>
    <cellStyle name="標準 103 2 2" xfId="10405"/>
    <cellStyle name="標準 103 3" xfId="9096"/>
    <cellStyle name="標準 104" xfId="2599"/>
    <cellStyle name="標準 104 2" xfId="4877"/>
    <cellStyle name="標準 104 2 2" xfId="10494"/>
    <cellStyle name="標準 104 3" xfId="9185"/>
    <cellStyle name="標準 105" xfId="2689"/>
    <cellStyle name="標準 105 2" xfId="4967"/>
    <cellStyle name="標準 105 2 2" xfId="10583"/>
    <cellStyle name="標準 105 3" xfId="9274"/>
    <cellStyle name="標準 106" xfId="2784"/>
    <cellStyle name="標準 106 2" xfId="5057"/>
    <cellStyle name="標準 106 2 2" xfId="10672"/>
    <cellStyle name="標準 106 3" xfId="9363"/>
    <cellStyle name="標準 107" xfId="4201"/>
    <cellStyle name="標準 107 2" xfId="6474"/>
    <cellStyle name="標準 107 2 2" xfId="11283"/>
    <cellStyle name="標準 107 3" xfId="9974"/>
    <cellStyle name="標準 108" xfId="4295"/>
    <cellStyle name="標準 108 2" xfId="6568"/>
    <cellStyle name="標準 108 2 2" xfId="11372"/>
    <cellStyle name="標準 108 3" xfId="10063"/>
    <cellStyle name="標準 109" xfId="4387"/>
    <cellStyle name="標準 109 2" xfId="6660"/>
    <cellStyle name="標準 109 2 2" xfId="11461"/>
    <cellStyle name="標準 109 3" xfId="10152"/>
    <cellStyle name="標準 11" xfId="1197"/>
    <cellStyle name="標準 11 2" xfId="1198"/>
    <cellStyle name="標準 11 2 2" xfId="1199"/>
    <cellStyle name="標準 11 2 2 2" xfId="1200"/>
    <cellStyle name="標準 11 2 2 3" xfId="1201"/>
    <cellStyle name="標準 11 2 2 3 2" xfId="6794"/>
    <cellStyle name="標準 11 2 3" xfId="1202"/>
    <cellStyle name="標準 11 2 4" xfId="1203"/>
    <cellStyle name="標準 11 2 4 2" xfId="6795"/>
    <cellStyle name="標準 11 3" xfId="1204"/>
    <cellStyle name="標準 11 3 2" xfId="1205"/>
    <cellStyle name="標準 11 3 2 2" xfId="1206"/>
    <cellStyle name="標準 11 3 2 2 2" xfId="6796"/>
    <cellStyle name="標準 11 3 3" xfId="1207"/>
    <cellStyle name="標準 11 3 3 2" xfId="6797"/>
    <cellStyle name="標準 11 4" xfId="1208"/>
    <cellStyle name="標準 11 5" xfId="1209"/>
    <cellStyle name="標準 11 5 2" xfId="6798"/>
    <cellStyle name="標準 110" xfId="4477"/>
    <cellStyle name="標準 110 2" xfId="10241"/>
    <cellStyle name="標準 111" xfId="1975"/>
    <cellStyle name="標準 111 2" xfId="11569"/>
    <cellStyle name="標準 112" xfId="8930"/>
    <cellStyle name="標準 113" xfId="11552"/>
    <cellStyle name="標準 12" xfId="1210"/>
    <cellStyle name="標準 12 2" xfId="1211"/>
    <cellStyle name="標準 12 3" xfId="1212"/>
    <cellStyle name="標準 12 4" xfId="1213"/>
    <cellStyle name="標準 12 4 2" xfId="1214"/>
    <cellStyle name="標準 12 5" xfId="1215"/>
    <cellStyle name="標準 12 5 2" xfId="6799"/>
    <cellStyle name="標準 13" xfId="1216"/>
    <cellStyle name="標準 13 2" xfId="1217"/>
    <cellStyle name="標準 13 3" xfId="1218"/>
    <cellStyle name="標準 13 4" xfId="1219"/>
    <cellStyle name="標準 13 5" xfId="6800"/>
    <cellStyle name="標準 14" xfId="1220"/>
    <cellStyle name="標準 14 2" xfId="1221"/>
    <cellStyle name="標準 14 2 2" xfId="1222"/>
    <cellStyle name="標準 14 2 2 2" xfId="1223"/>
    <cellStyle name="標準 14 2 3" xfId="1224"/>
    <cellStyle name="標準 14 2 4" xfId="1225"/>
    <cellStyle name="標準 14 2 4 2" xfId="6801"/>
    <cellStyle name="標準 14 3" xfId="1226"/>
    <cellStyle name="標準 14 3 2" xfId="1227"/>
    <cellStyle name="標準 14 3 3" xfId="1228"/>
    <cellStyle name="標準 14 3 3 2" xfId="6802"/>
    <cellStyle name="標準 14 4" xfId="1229"/>
    <cellStyle name="標準 14 5" xfId="1230"/>
    <cellStyle name="標準 14 5 2" xfId="6803"/>
    <cellStyle name="標準 15" xfId="1231"/>
    <cellStyle name="標準 15 2" xfId="1232"/>
    <cellStyle name="標準 15 2 2" xfId="1233"/>
    <cellStyle name="標準 15 2 2 2" xfId="1234"/>
    <cellStyle name="標準 15 2 3" xfId="1235"/>
    <cellStyle name="標準 15 2 4" xfId="1236"/>
    <cellStyle name="標準 15 2 4 2" xfId="6804"/>
    <cellStyle name="標準 15 3" xfId="1237"/>
    <cellStyle name="標準 15 3 2" xfId="1238"/>
    <cellStyle name="標準 15 3 3" xfId="1239"/>
    <cellStyle name="標準 15 3 3 2" xfId="6805"/>
    <cellStyle name="標準 15 4" xfId="1240"/>
    <cellStyle name="標準 15 5" xfId="2735"/>
    <cellStyle name="標準 16" xfId="1241"/>
    <cellStyle name="標準 16 2" xfId="1242"/>
    <cellStyle name="標準 16 2 2" xfId="1243"/>
    <cellStyle name="標準 16 2 3" xfId="1244"/>
    <cellStyle name="標準 16 2 3 2" xfId="6806"/>
    <cellStyle name="標準 16 3" xfId="1245"/>
    <cellStyle name="標準 16 4" xfId="1246"/>
    <cellStyle name="標準 16 4 2" xfId="6807"/>
    <cellStyle name="標準 17" xfId="1247"/>
    <cellStyle name="標準 17 2" xfId="1248"/>
    <cellStyle name="標準 17 2 2" xfId="1249"/>
    <cellStyle name="標準 17 2 3" xfId="1250"/>
    <cellStyle name="標準 17 2 3 2" xfId="6808"/>
    <cellStyle name="標準 17 3" xfId="1251"/>
    <cellStyle name="標準 17 4" xfId="6809"/>
    <cellStyle name="標準 18" xfId="1252"/>
    <cellStyle name="標準 18 2" xfId="1253"/>
    <cellStyle name="標準 18 2 2" xfId="1254"/>
    <cellStyle name="標準 18 3" xfId="1255"/>
    <cellStyle name="標準 18 4" xfId="1256"/>
    <cellStyle name="標準 18 4 2" xfId="6810"/>
    <cellStyle name="標準 19" xfId="1257"/>
    <cellStyle name="標準 19 2" xfId="1258"/>
    <cellStyle name="標準 19 2 2" xfId="1259"/>
    <cellStyle name="標準 19 3" xfId="1260"/>
    <cellStyle name="標準 19 4" xfId="1261"/>
    <cellStyle name="標準 19 4 2" xfId="6811"/>
    <cellStyle name="標準 2" xfId="6"/>
    <cellStyle name="標準 2 10" xfId="1262"/>
    <cellStyle name="標準 2 11" xfId="1263"/>
    <cellStyle name="標準 2 12" xfId="1264"/>
    <cellStyle name="標準 2 13" xfId="1265"/>
    <cellStyle name="標準 2 14" xfId="2117"/>
    <cellStyle name="標準 2 2" xfId="1266"/>
    <cellStyle name="標準 2 2 10" xfId="1267"/>
    <cellStyle name="標準 2 2 10 2" xfId="6812"/>
    <cellStyle name="標準 2 2 2" xfId="4"/>
    <cellStyle name="標準 2 2 2 2" xfId="1268"/>
    <cellStyle name="標準 2 2 2 2 2" xfId="1269"/>
    <cellStyle name="標準 2 2 2 2 2 2" xfId="1270"/>
    <cellStyle name="標準 2 2 2 2 3" xfId="1271"/>
    <cellStyle name="標準 2 2 2 2_次期売買システム対応_清算システム性能テスト実施計画書【第1_2版】" xfId="1272"/>
    <cellStyle name="標準 2 2 2 3" xfId="1273"/>
    <cellStyle name="標準 2 2 2 3 2" xfId="1274"/>
    <cellStyle name="標準 2 2 2 3 2 2" xfId="1275"/>
    <cellStyle name="標準 2 2 2 4" xfId="1276"/>
    <cellStyle name="標準 2 2 2 5" xfId="1277"/>
    <cellStyle name="標準 2 2 2 5 2" xfId="6814"/>
    <cellStyle name="標準 2 2 2 6" xfId="1278"/>
    <cellStyle name="標準 2 2 2 7" xfId="6813"/>
    <cellStyle name="標準 2 2 2_テスト時限" xfId="1279"/>
    <cellStyle name="標準 2 2 3" xfId="1280"/>
    <cellStyle name="標準 2 2 3 2" xfId="1281"/>
    <cellStyle name="標準 2 2 3 2 2" xfId="1282"/>
    <cellStyle name="標準 2 2 3 3" xfId="1283"/>
    <cellStyle name="標準 2 2 3 4" xfId="1284"/>
    <cellStyle name="標準 2 2 4" xfId="1285"/>
    <cellStyle name="標準 2 2 4 2" xfId="1286"/>
    <cellStyle name="標準 2 2 4 3" xfId="1287"/>
    <cellStyle name="標準 2 2 4 4" xfId="1288"/>
    <cellStyle name="標準 2 2 4 4 2" xfId="1289"/>
    <cellStyle name="標準 2 2 4 5" xfId="1290"/>
    <cellStyle name="標準 2 2 5" xfId="1291"/>
    <cellStyle name="標準 2 2 5 2" xfId="1292"/>
    <cellStyle name="標準 2 2 6" xfId="1293"/>
    <cellStyle name="標準 2 2 7" xfId="1294"/>
    <cellStyle name="標準 2 2 8" xfId="1295"/>
    <cellStyle name="標準 2 2 9" xfId="1296"/>
    <cellStyle name="標準 2 2 9 2" xfId="1297"/>
    <cellStyle name="標準 2 2_(別紙1)参加者テスト仕様書(JPN)_ver1.81" xfId="1298"/>
    <cellStyle name="標準 2 3" xfId="1299"/>
    <cellStyle name="標準 2 3 2" xfId="1300"/>
    <cellStyle name="標準 2 3 3" xfId="1301"/>
    <cellStyle name="標準 2 3 3 2" xfId="1302"/>
    <cellStyle name="標準 2 3 4" xfId="1303"/>
    <cellStyle name="標準 2 3 5" xfId="1304"/>
    <cellStyle name="標準 2 3 5 2" xfId="1305"/>
    <cellStyle name="標準 2 3 6" xfId="1306"/>
    <cellStyle name="標準 2 3 7" xfId="6815"/>
    <cellStyle name="標準 2 3_【社内向け】扱者コード拡充対応説明資料" xfId="1307"/>
    <cellStyle name="標準 2 4" xfId="1308"/>
    <cellStyle name="標準 2 4 2" xfId="1309"/>
    <cellStyle name="標準 2 4 3" xfId="1310"/>
    <cellStyle name="標準 2 4 4" xfId="1311"/>
    <cellStyle name="標準 2 4 5" xfId="1312"/>
    <cellStyle name="標準 2 4 5 10" xfId="1313"/>
    <cellStyle name="標準 2 4 5 11" xfId="1314"/>
    <cellStyle name="標準 2 4 5 2" xfId="1315"/>
    <cellStyle name="標準 2 4 5 2 2" xfId="1316"/>
    <cellStyle name="標準 2 4 5 2 2 2" xfId="1317"/>
    <cellStyle name="標準 2 4 5 2 2 2 2" xfId="1318"/>
    <cellStyle name="標準 2 4 5 2 2 2 2 2" xfId="1319"/>
    <cellStyle name="標準 2 4 5 2 2 2 3" xfId="1320"/>
    <cellStyle name="標準 2 4 5 2 2 2 4" xfId="1321"/>
    <cellStyle name="標準 2 4 5 2 2 3" xfId="1322"/>
    <cellStyle name="標準 2 4 5 2 2 3 2" xfId="1323"/>
    <cellStyle name="標準 2 4 5 2 2 4" xfId="1324"/>
    <cellStyle name="標準 2 4 5 2 2 5" xfId="1325"/>
    <cellStyle name="標準 2 4 5 2 3" xfId="1326"/>
    <cellStyle name="標準 2 4 5 2 3 2" xfId="1327"/>
    <cellStyle name="標準 2 4 5 2 3 2 2" xfId="1328"/>
    <cellStyle name="標準 2 4 5 2 3 3" xfId="1329"/>
    <cellStyle name="標準 2 4 5 2 3 4" xfId="1330"/>
    <cellStyle name="標準 2 4 5 2 4" xfId="1331"/>
    <cellStyle name="標準 2 4 5 2 4 2" xfId="1332"/>
    <cellStyle name="標準 2 4 5 2 5" xfId="1333"/>
    <cellStyle name="標準 2 4 5 2 6" xfId="1334"/>
    <cellStyle name="標準 2 4 5 3" xfId="1335"/>
    <cellStyle name="標準 2 4 5 3 2" xfId="1336"/>
    <cellStyle name="標準 2 4 5 3 2 2" xfId="1337"/>
    <cellStyle name="標準 2 4 5 3 2 2 2" xfId="1338"/>
    <cellStyle name="標準 2 4 5 3 2 2 2 2" xfId="1339"/>
    <cellStyle name="標準 2 4 5 3 2 2 3" xfId="1340"/>
    <cellStyle name="標準 2 4 5 3 2 2 4" xfId="1341"/>
    <cellStyle name="標準 2 4 5 3 2 3" xfId="1342"/>
    <cellStyle name="標準 2 4 5 3 2 3 2" xfId="1343"/>
    <cellStyle name="標準 2 4 5 3 2 4" xfId="1344"/>
    <cellStyle name="標準 2 4 5 3 2 5" xfId="1345"/>
    <cellStyle name="標準 2 4 5 3 3" xfId="1346"/>
    <cellStyle name="標準 2 4 5 3 3 2" xfId="1347"/>
    <cellStyle name="標準 2 4 5 3 3 2 2" xfId="1348"/>
    <cellStyle name="標準 2 4 5 3 3 3" xfId="1349"/>
    <cellStyle name="標準 2 4 5 3 3 4" xfId="1350"/>
    <cellStyle name="標準 2 4 5 3 4" xfId="1351"/>
    <cellStyle name="標準 2 4 5 3 4 2" xfId="1352"/>
    <cellStyle name="標準 2 4 5 3 5" xfId="1353"/>
    <cellStyle name="標準 2 4 5 3 6" xfId="1354"/>
    <cellStyle name="標準 2 4 5 4" xfId="1355"/>
    <cellStyle name="標準 2 4 5 4 2" xfId="1356"/>
    <cellStyle name="標準 2 4 5 4 2 2" xfId="1357"/>
    <cellStyle name="標準 2 4 5 4 2 2 2" xfId="1358"/>
    <cellStyle name="標準 2 4 5 4 2 3" xfId="1359"/>
    <cellStyle name="標準 2 4 5 4 2 4" xfId="1360"/>
    <cellStyle name="標準 2 4 5 4 3" xfId="1361"/>
    <cellStyle name="標準 2 4 5 4 3 2" xfId="1362"/>
    <cellStyle name="標準 2 4 5 4 4" xfId="1363"/>
    <cellStyle name="標準 2 4 5 4 5" xfId="1364"/>
    <cellStyle name="標準 2 4 5 5" xfId="1365"/>
    <cellStyle name="標準 2 4 5 5 2" xfId="1366"/>
    <cellStyle name="標準 2 4 5 5 2 2" xfId="1367"/>
    <cellStyle name="標準 2 4 5 5 3" xfId="1368"/>
    <cellStyle name="標準 2 4 5 5 4" xfId="1369"/>
    <cellStyle name="標準 2 4 5 6" xfId="1370"/>
    <cellStyle name="標準 2 4 5 6 2" xfId="1371"/>
    <cellStyle name="標準 2 4 5 7" xfId="1372"/>
    <cellStyle name="標準 2 4 5 7 2" xfId="1373"/>
    <cellStyle name="標準 2 4 5 8" xfId="1374"/>
    <cellStyle name="標準 2 4 5 8 2" xfId="1375"/>
    <cellStyle name="標準 2 4 5 9" xfId="1376"/>
    <cellStyle name="標準 2 4 6" xfId="1377"/>
    <cellStyle name="標準 2 4 7" xfId="6816"/>
    <cellStyle name="標準 2 5" xfId="1378"/>
    <cellStyle name="標準 2 5 2" xfId="1379"/>
    <cellStyle name="標準 2 5 3" xfId="1380"/>
    <cellStyle name="標準 2 5 4" xfId="1381"/>
    <cellStyle name="標準 2 5 5" xfId="1382"/>
    <cellStyle name="標準 2 5 6" xfId="1383"/>
    <cellStyle name="標準 2 5 6 2" xfId="6817"/>
    <cellStyle name="標準 2 6" xfId="1384"/>
    <cellStyle name="標準 2 6 2" xfId="1385"/>
    <cellStyle name="標準 2 6 2 2" xfId="6818"/>
    <cellStyle name="標準 2 7" xfId="1386"/>
    <cellStyle name="標準 2 7 2" xfId="1387"/>
    <cellStyle name="標準 2 7 2 2" xfId="6819"/>
    <cellStyle name="標準 2 8" xfId="1388"/>
    <cellStyle name="標準 2 8 2" xfId="1389"/>
    <cellStyle name="標準 2 8 3" xfId="2734"/>
    <cellStyle name="標準 2 8 3 2" xfId="6820"/>
    <cellStyle name="標準 2 9" xfId="1390"/>
    <cellStyle name="標準 2 9 2" xfId="2733"/>
    <cellStyle name="標準 2 9 2 2" xfId="6821"/>
    <cellStyle name="標準 2_(別紙1)参加者テスト仕様書(JPN)_ver1.81" xfId="1391"/>
    <cellStyle name="標準 20" xfId="1392"/>
    <cellStyle name="標準 20 2" xfId="1393"/>
    <cellStyle name="標準 20 2 2" xfId="1394"/>
    <cellStyle name="標準 20 2 2 2" xfId="6822"/>
    <cellStyle name="標準 20 3" xfId="1395"/>
    <cellStyle name="標準 20 3 2" xfId="6823"/>
    <cellStyle name="標準 21" xfId="1396"/>
    <cellStyle name="標準 21 2" xfId="1397"/>
    <cellStyle name="標準 21 3" xfId="1398"/>
    <cellStyle name="標準 21 3 2" xfId="6824"/>
    <cellStyle name="標準 22" xfId="1399"/>
    <cellStyle name="標準 22 2" xfId="1400"/>
    <cellStyle name="標準 22 3" xfId="1401"/>
    <cellStyle name="標準 22 3 2" xfId="6825"/>
    <cellStyle name="標準 23" xfId="1402"/>
    <cellStyle name="標準 23 2" xfId="1403"/>
    <cellStyle name="標準 23 2 2" xfId="6826"/>
    <cellStyle name="標準 24" xfId="1404"/>
    <cellStyle name="標準 24 2" xfId="1405"/>
    <cellStyle name="標準 24 3" xfId="6827"/>
    <cellStyle name="標準 25" xfId="1406"/>
    <cellStyle name="標準 25 2" xfId="1407"/>
    <cellStyle name="標準 25 2 2" xfId="1408"/>
    <cellStyle name="標準 25 2 2 2" xfId="1409"/>
    <cellStyle name="標準 25 2 2 2 2" xfId="1410"/>
    <cellStyle name="標準 25 2 2 2 2 2" xfId="1411"/>
    <cellStyle name="標準 25 2 2 2 3" xfId="1412"/>
    <cellStyle name="標準 25 2 2 2 4" xfId="1413"/>
    <cellStyle name="標準 25 2 2 3" xfId="1414"/>
    <cellStyle name="標準 25 2 2 3 2" xfId="1415"/>
    <cellStyle name="標準 25 2 2 4" xfId="1416"/>
    <cellStyle name="標準 25 2 2 5" xfId="1417"/>
    <cellStyle name="標準 25 2 3" xfId="1418"/>
    <cellStyle name="標準 25 2 3 2" xfId="1419"/>
    <cellStyle name="標準 25 2 3 2 2" xfId="1420"/>
    <cellStyle name="標準 25 2 3 3" xfId="1421"/>
    <cellStyle name="標準 25 2 3 4" xfId="1422"/>
    <cellStyle name="標準 25 2 4" xfId="1423"/>
    <cellStyle name="標準 25 2 4 2" xfId="1424"/>
    <cellStyle name="標準 25 2 5" xfId="1425"/>
    <cellStyle name="標準 25 2 5 2" xfId="1426"/>
    <cellStyle name="標準 25 2 6" xfId="1427"/>
    <cellStyle name="標準 25 2 6 2" xfId="1428"/>
    <cellStyle name="標準 25 2 7" xfId="1429"/>
    <cellStyle name="標準 25 2 8" xfId="1430"/>
    <cellStyle name="標準 25 2 9" xfId="1431"/>
    <cellStyle name="標準 25 3" xfId="1432"/>
    <cellStyle name="標準 25 3 2" xfId="1433"/>
    <cellStyle name="標準 25 3 2 2" xfId="1434"/>
    <cellStyle name="標準 25 3 2 2 2" xfId="1435"/>
    <cellStyle name="標準 25 3 2 3" xfId="1436"/>
    <cellStyle name="標準 25 3 2 4" xfId="1437"/>
    <cellStyle name="標準 25 3 3" xfId="1438"/>
    <cellStyle name="標準 25 3 3 2" xfId="1439"/>
    <cellStyle name="標準 25 3 4" xfId="1440"/>
    <cellStyle name="標準 25 3 5" xfId="1441"/>
    <cellStyle name="標準 25 4" xfId="1442"/>
    <cellStyle name="標準 25 4 2" xfId="1443"/>
    <cellStyle name="標準 25 4 2 2" xfId="1444"/>
    <cellStyle name="標準 25 4 3" xfId="1445"/>
    <cellStyle name="標準 25 4 4" xfId="1446"/>
    <cellStyle name="標準 25 5" xfId="1447"/>
    <cellStyle name="標準 25 6" xfId="1448"/>
    <cellStyle name="標準 25 6 2" xfId="1449"/>
    <cellStyle name="標準 25 7" xfId="1450"/>
    <cellStyle name="標準 25 8" xfId="1451"/>
    <cellStyle name="標準 25 9" xfId="6828"/>
    <cellStyle name="標準 26" xfId="1452"/>
    <cellStyle name="標準 26 2" xfId="1453"/>
    <cellStyle name="標準 26 2 2" xfId="1454"/>
    <cellStyle name="標準 26 2 2 2" xfId="1455"/>
    <cellStyle name="標準 26 2 2 2 2" xfId="1456"/>
    <cellStyle name="標準 26 2 2 3" xfId="1457"/>
    <cellStyle name="標準 26 2 2 4" xfId="1458"/>
    <cellStyle name="標準 26 2 3" xfId="1459"/>
    <cellStyle name="標準 26 2 3 2" xfId="1460"/>
    <cellStyle name="標準 26 2 4" xfId="1461"/>
    <cellStyle name="標準 26 2 5" xfId="1462"/>
    <cellStyle name="標準 26 3" xfId="1463"/>
    <cellStyle name="標準 26 3 2" xfId="1464"/>
    <cellStyle name="標準 26 3 2 2" xfId="1465"/>
    <cellStyle name="標準 26 3 3" xfId="1466"/>
    <cellStyle name="標準 26 3 4" xfId="1467"/>
    <cellStyle name="標準 26 4" xfId="1468"/>
    <cellStyle name="標準 26 5" xfId="1469"/>
    <cellStyle name="標準 26 5 2" xfId="1470"/>
    <cellStyle name="標準 26 6" xfId="1471"/>
    <cellStyle name="標準 26 7" xfId="1472"/>
    <cellStyle name="標準 27" xfId="1473"/>
    <cellStyle name="標準 27 2" xfId="1474"/>
    <cellStyle name="標準 27 2 2" xfId="1475"/>
    <cellStyle name="標準 27 2 2 2" xfId="1476"/>
    <cellStyle name="標準 27 2 2 2 2" xfId="1477"/>
    <cellStyle name="標準 27 2 2 3" xfId="1478"/>
    <cellStyle name="標準 27 2 2 4" xfId="1479"/>
    <cellStyle name="標準 27 2 3" xfId="1480"/>
    <cellStyle name="標準 27 2 3 2" xfId="1481"/>
    <cellStyle name="標準 27 2 4" xfId="1482"/>
    <cellStyle name="標準 27 2 5" xfId="1483"/>
    <cellStyle name="標準 27 3" xfId="1484"/>
    <cellStyle name="標準 27 3 2" xfId="1485"/>
    <cellStyle name="標準 27 3 2 2" xfId="1486"/>
    <cellStyle name="標準 27 3 3" xfId="1487"/>
    <cellStyle name="標準 27 3 4" xfId="1488"/>
    <cellStyle name="標準 27 4" xfId="1489"/>
    <cellStyle name="標準 27 5" xfId="1490"/>
    <cellStyle name="標準 27 5 2" xfId="1491"/>
    <cellStyle name="標準 27 6" xfId="1492"/>
    <cellStyle name="標準 27 7" xfId="1493"/>
    <cellStyle name="標準 28" xfId="1494"/>
    <cellStyle name="標準 28 2" xfId="1495"/>
    <cellStyle name="標準 28 2 2" xfId="1496"/>
    <cellStyle name="標準 28 2 2 2" xfId="1497"/>
    <cellStyle name="標準 28 2 2 2 2" xfId="1498"/>
    <cellStyle name="標準 28 2 2 3" xfId="1499"/>
    <cellStyle name="標準 28 2 2 4" xfId="1500"/>
    <cellStyle name="標準 28 2 3" xfId="1501"/>
    <cellStyle name="標準 28 2 3 2" xfId="1502"/>
    <cellStyle name="標準 28 2 4" xfId="1503"/>
    <cellStyle name="標準 28 2 5" xfId="1504"/>
    <cellStyle name="標準 28 3" xfId="1505"/>
    <cellStyle name="標準 28 3 2" xfId="1506"/>
    <cellStyle name="標準 28 3 2 2" xfId="1507"/>
    <cellStyle name="標準 28 3 3" xfId="1508"/>
    <cellStyle name="標準 28 3 4" xfId="1509"/>
    <cellStyle name="標準 28 4" xfId="1510"/>
    <cellStyle name="標準 28 4 2" xfId="1511"/>
    <cellStyle name="標準 28 5" xfId="1512"/>
    <cellStyle name="標準 28 6" xfId="1513"/>
    <cellStyle name="標準 29" xfId="1514"/>
    <cellStyle name="標準 29 2" xfId="1515"/>
    <cellStyle name="標準 29 2 2" xfId="1516"/>
    <cellStyle name="標準 29 2 2 2" xfId="1517"/>
    <cellStyle name="標準 29 2 2 2 2" xfId="1518"/>
    <cellStyle name="標準 29 2 2 3" xfId="1519"/>
    <cellStyle name="標準 29 2 2 4" xfId="1520"/>
    <cellStyle name="標準 29 2 3" xfId="1521"/>
    <cellStyle name="標準 29 2 3 2" xfId="1522"/>
    <cellStyle name="標準 29 2 4" xfId="1523"/>
    <cellStyle name="標準 29 2 5" xfId="1524"/>
    <cellStyle name="標準 29 3" xfId="1525"/>
    <cellStyle name="標準 29 3 2" xfId="1526"/>
    <cellStyle name="標準 29 3 2 2" xfId="1527"/>
    <cellStyle name="標準 29 3 3" xfId="1528"/>
    <cellStyle name="標準 29 3 4" xfId="1529"/>
    <cellStyle name="標準 29 4" xfId="1530"/>
    <cellStyle name="標準 29 4 2" xfId="1531"/>
    <cellStyle name="標準 29 5" xfId="1532"/>
    <cellStyle name="標準 29 6" xfId="1533"/>
    <cellStyle name="標準 3" xfId="16"/>
    <cellStyle name="標準 3 10" xfId="6830"/>
    <cellStyle name="標準 3 11" xfId="6829"/>
    <cellStyle name="標準 3 12" xfId="11556"/>
    <cellStyle name="標準 3 2" xfId="1534"/>
    <cellStyle name="標準 3 2 2" xfId="1535"/>
    <cellStyle name="標準 3 2 2 2" xfId="1536"/>
    <cellStyle name="標準 3 2 2 3" xfId="1537"/>
    <cellStyle name="標準 3 2 3" xfId="1538"/>
    <cellStyle name="標準 3 2 4" xfId="1539"/>
    <cellStyle name="標準 3 2 4 2" xfId="1540"/>
    <cellStyle name="標準 3 2 5" xfId="1541"/>
    <cellStyle name="標準 3 2 6" xfId="1542"/>
    <cellStyle name="標準 3 2 7" xfId="1543"/>
    <cellStyle name="標準 3 2 7 2" xfId="6831"/>
    <cellStyle name="標準 3 3" xfId="1544"/>
    <cellStyle name="標準 3 3 2" xfId="1545"/>
    <cellStyle name="標準 3 3 3" xfId="1546"/>
    <cellStyle name="標準 3 3 4" xfId="1547"/>
    <cellStyle name="標準 3 3 5" xfId="1548"/>
    <cellStyle name="標準 3 3 5 2" xfId="1549"/>
    <cellStyle name="標準 3 3 6" xfId="1550"/>
    <cellStyle name="標準 3 3 6 2" xfId="6832"/>
    <cellStyle name="標準 3 3_受渡ファイル一覧（調査用）" xfId="1551"/>
    <cellStyle name="標準 3 4" xfId="1552"/>
    <cellStyle name="標準 3 4 2" xfId="1553"/>
    <cellStyle name="標準 3 4 3" xfId="1554"/>
    <cellStyle name="標準 3 4 3 2" xfId="6833"/>
    <cellStyle name="標準 3 5" xfId="1555"/>
    <cellStyle name="標準 3 5 2" xfId="1556"/>
    <cellStyle name="標準 3 6" xfId="1557"/>
    <cellStyle name="標準 3 7" xfId="1558"/>
    <cellStyle name="標準 3 8" xfId="1559"/>
    <cellStyle name="標準 3 9" xfId="2"/>
    <cellStyle name="標準 3_【ES000975】扱者番号拡充対応_質問・課題管理表_20110126" xfId="1560"/>
    <cellStyle name="標準 30" xfId="1561"/>
    <cellStyle name="標準 31" xfId="1562"/>
    <cellStyle name="標準 32" xfId="1563"/>
    <cellStyle name="標準 32 2" xfId="1564"/>
    <cellStyle name="標準 32 2 2" xfId="1565"/>
    <cellStyle name="標準 32 2 2 2" xfId="1566"/>
    <cellStyle name="標準 32 2 3" xfId="1567"/>
    <cellStyle name="標準 32 2 4" xfId="1568"/>
    <cellStyle name="標準 32 3" xfId="1569"/>
    <cellStyle name="標準 32 3 2" xfId="1570"/>
    <cellStyle name="標準 32 4" xfId="1571"/>
    <cellStyle name="標準 32 5" xfId="1572"/>
    <cellStyle name="標準 33" xfId="1573"/>
    <cellStyle name="標準 33 2" xfId="1574"/>
    <cellStyle name="標準 33 2 2" xfId="1575"/>
    <cellStyle name="標準 33 2_【ES000975】扱者番号拡充対応_質問・課題管理表（内部確認用）_20110207_債券為替追記" xfId="1576"/>
    <cellStyle name="標準 33 3" xfId="1577"/>
    <cellStyle name="標準 33_【ES000975】扱者番号拡充対応_質問・課題管理表（内部確認用）_20110207_債券為替追記" xfId="1578"/>
    <cellStyle name="標準 34" xfId="1579"/>
    <cellStyle name="標準 34 2" xfId="1580"/>
    <cellStyle name="標準 34 2 2" xfId="1581"/>
    <cellStyle name="標準 34 2 2 2" xfId="1582"/>
    <cellStyle name="標準 34 2 3" xfId="1583"/>
    <cellStyle name="標準 34 2 4" xfId="1584"/>
    <cellStyle name="標準 34 3" xfId="1585"/>
    <cellStyle name="標準 34 3 2" xfId="1586"/>
    <cellStyle name="標準 34 4" xfId="1587"/>
    <cellStyle name="標準 34 5" xfId="1588"/>
    <cellStyle name="標準 35" xfId="1589"/>
    <cellStyle name="標準 35 2" xfId="1590"/>
    <cellStyle name="標準 35 2 2" xfId="1591"/>
    <cellStyle name="標準 35 2 2 2" xfId="1592"/>
    <cellStyle name="標準 35 2 3" xfId="1593"/>
    <cellStyle name="標準 35 2 4" xfId="1594"/>
    <cellStyle name="標準 35 3" xfId="1595"/>
    <cellStyle name="標準 35 3 2" xfId="1596"/>
    <cellStyle name="標準 35 4" xfId="1597"/>
    <cellStyle name="標準 35 4 2" xfId="1598"/>
    <cellStyle name="標準 35 5" xfId="1599"/>
    <cellStyle name="標準 36" xfId="1600"/>
    <cellStyle name="標準 37" xfId="1601"/>
    <cellStyle name="標準 37 2" xfId="1602"/>
    <cellStyle name="標準 37 2 2" xfId="1603"/>
    <cellStyle name="標準 37 2 2 2" xfId="1604"/>
    <cellStyle name="標準 37 2 3" xfId="1605"/>
    <cellStyle name="標準 37 2 4" xfId="1606"/>
    <cellStyle name="標準 37 3" xfId="1607"/>
    <cellStyle name="標準 37 3 2" xfId="1608"/>
    <cellStyle name="標準 37 4" xfId="1609"/>
    <cellStyle name="標準 37 5" xfId="1610"/>
    <cellStyle name="標準 38" xfId="1611"/>
    <cellStyle name="標準 38 2" xfId="1612"/>
    <cellStyle name="標準 38 2 2" xfId="1613"/>
    <cellStyle name="標準 38 2 2 2" xfId="1614"/>
    <cellStyle name="標準 38 2 3" xfId="1615"/>
    <cellStyle name="標準 38 2 4" xfId="1616"/>
    <cellStyle name="標準 38 3" xfId="1617"/>
    <cellStyle name="標準 38 3 2" xfId="1618"/>
    <cellStyle name="標準 38 4" xfId="1619"/>
    <cellStyle name="標準 38 5" xfId="1620"/>
    <cellStyle name="標準 39" xfId="1621"/>
    <cellStyle name="標準 39 2" xfId="1622"/>
    <cellStyle name="標準 39 2 2" xfId="1623"/>
    <cellStyle name="標準 39 2 2 2" xfId="1624"/>
    <cellStyle name="標準 39 2 3" xfId="1625"/>
    <cellStyle name="標準 39 2 4" xfId="1626"/>
    <cellStyle name="標準 39 3" xfId="1627"/>
    <cellStyle name="標準 39 3 2" xfId="1628"/>
    <cellStyle name="標準 39 4" xfId="1629"/>
    <cellStyle name="標準 39 5" xfId="1630"/>
    <cellStyle name="標準 4" xfId="1631"/>
    <cellStyle name="標準 4 10" xfId="1632"/>
    <cellStyle name="標準 4 10 2" xfId="1633"/>
    <cellStyle name="標準 4 11" xfId="6835"/>
    <cellStyle name="標準 4 12" xfId="6834"/>
    <cellStyle name="標準 4 13" xfId="6848"/>
    <cellStyle name="標準 4 13 2" xfId="6852"/>
    <cellStyle name="標準 4 13 2 2" xfId="6857"/>
    <cellStyle name="標準 4 13 2 3" xfId="6861"/>
    <cellStyle name="標準 4 13 2 4" xfId="6865"/>
    <cellStyle name="標準 4 13 3" xfId="6855"/>
    <cellStyle name="標準 4 13 4" xfId="6859"/>
    <cellStyle name="標準 4 13 5" xfId="6863"/>
    <cellStyle name="標準 4 14" xfId="6850"/>
    <cellStyle name="標準 4 14 2" xfId="6856"/>
    <cellStyle name="標準 4 14 3" xfId="6860"/>
    <cellStyle name="標準 4 14 4" xfId="6864"/>
    <cellStyle name="標準 4 15" xfId="6853"/>
    <cellStyle name="標準 4 15 2" xfId="6858"/>
    <cellStyle name="標準 4 15 3" xfId="6862"/>
    <cellStyle name="標準 4 16" xfId="6750"/>
    <cellStyle name="標準 4 2" xfId="1634"/>
    <cellStyle name="標準 4 2 2" xfId="1635"/>
    <cellStyle name="標準 4 2 2 2" xfId="1636"/>
    <cellStyle name="標準 4 2 2 3" xfId="1637"/>
    <cellStyle name="標準 4 2 3" xfId="1638"/>
    <cellStyle name="標準 4 2 4" xfId="1639"/>
    <cellStyle name="標準 4 2 5" xfId="1640"/>
    <cellStyle name="標準 4 2 5 2" xfId="1641"/>
    <cellStyle name="標準 4 2 6" xfId="1642"/>
    <cellStyle name="標準 4 2_受渡ファイル一覧（調査用）" xfId="1643"/>
    <cellStyle name="標準 4 3" xfId="1644"/>
    <cellStyle name="標準 4 3 2" xfId="1645"/>
    <cellStyle name="標準 4 3 3" xfId="1646"/>
    <cellStyle name="標準 4 3 4" xfId="1647"/>
    <cellStyle name="標準 4 3 5" xfId="1648"/>
    <cellStyle name="標準 4 3 5 2" xfId="1649"/>
    <cellStyle name="標準 4 3_受渡ファイル一覧（調査用）" xfId="1650"/>
    <cellStyle name="標準 4 4" xfId="1651"/>
    <cellStyle name="標準 4 4 2" xfId="1652"/>
    <cellStyle name="標準 4 5" xfId="1653"/>
    <cellStyle name="標準 4 6" xfId="1654"/>
    <cellStyle name="標準 4 7" xfId="1655"/>
    <cellStyle name="標準 4 8" xfId="1656"/>
    <cellStyle name="標準 4 9" xfId="1657"/>
    <cellStyle name="標準 4_【ES000975】扱者番号拡充対応_質問・課題管理表_20110126" xfId="1658"/>
    <cellStyle name="標準 40" xfId="1659"/>
    <cellStyle name="標準 40 2" xfId="1660"/>
    <cellStyle name="標準 40 2 2" xfId="1661"/>
    <cellStyle name="標準 40 2 2 2" xfId="1662"/>
    <cellStyle name="標準 40 2 3" xfId="1663"/>
    <cellStyle name="標準 40 2 4" xfId="1664"/>
    <cellStyle name="標準 40 3" xfId="1665"/>
    <cellStyle name="標準 40 3 2" xfId="1666"/>
    <cellStyle name="標準 40 4" xfId="1667"/>
    <cellStyle name="標準 40 5" xfId="1668"/>
    <cellStyle name="標準 41" xfId="1669"/>
    <cellStyle name="標準 41 2" xfId="1670"/>
    <cellStyle name="標準 41 2 2" xfId="1671"/>
    <cellStyle name="標準 41 2 2 2" xfId="1672"/>
    <cellStyle name="標準 41 2 3" xfId="1673"/>
    <cellStyle name="標準 41 2 4" xfId="1674"/>
    <cellStyle name="標準 41 3" xfId="1675"/>
    <cellStyle name="標準 41 3 2" xfId="1676"/>
    <cellStyle name="標準 41 4" xfId="1677"/>
    <cellStyle name="標準 41 5" xfId="1678"/>
    <cellStyle name="標準 42" xfId="1679"/>
    <cellStyle name="標準 42 2" xfId="1680"/>
    <cellStyle name="標準 42 2 2" xfId="1681"/>
    <cellStyle name="標準 42 2 2 2" xfId="1682"/>
    <cellStyle name="標準 42 2 3" xfId="1683"/>
    <cellStyle name="標準 42 2 4" xfId="1684"/>
    <cellStyle name="標準 42 3" xfId="1685"/>
    <cellStyle name="標準 42 3 2" xfId="1686"/>
    <cellStyle name="標準 42 4" xfId="1687"/>
    <cellStyle name="標準 42 5" xfId="1688"/>
    <cellStyle name="標準 43" xfId="1689"/>
    <cellStyle name="標準 43 2" xfId="1690"/>
    <cellStyle name="標準 43 2 2" xfId="1691"/>
    <cellStyle name="標準 43 2 2 2" xfId="1692"/>
    <cellStyle name="標準 43 2 3" xfId="1693"/>
    <cellStyle name="標準 43 2 4" xfId="1694"/>
    <cellStyle name="標準 43 3" xfId="1695"/>
    <cellStyle name="標準 43 3 2" xfId="1696"/>
    <cellStyle name="標準 43 4" xfId="1697"/>
    <cellStyle name="標準 43 5" xfId="1698"/>
    <cellStyle name="標準 44" xfId="1699"/>
    <cellStyle name="標準 44 2" xfId="1700"/>
    <cellStyle name="標準 44 2 2" xfId="1701"/>
    <cellStyle name="標準 44 2 2 2" xfId="1702"/>
    <cellStyle name="標準 44 2 3" xfId="1703"/>
    <cellStyle name="標準 44 2 4" xfId="1704"/>
    <cellStyle name="標準 44 3" xfId="1705"/>
    <cellStyle name="標準 44 3 2" xfId="1706"/>
    <cellStyle name="標準 44 4" xfId="1707"/>
    <cellStyle name="標準 44 5" xfId="1708"/>
    <cellStyle name="標準 45" xfId="1709"/>
    <cellStyle name="標準 45 10" xfId="1710"/>
    <cellStyle name="標準 45 10 10" xfId="4284"/>
    <cellStyle name="標準 45 10 10 2" xfId="6557"/>
    <cellStyle name="標準 45 10 10 2 2" xfId="11361"/>
    <cellStyle name="標準 45 10 10 3" xfId="10052"/>
    <cellStyle name="標準 45 10 11" xfId="4376"/>
    <cellStyle name="標準 45 10 11 2" xfId="6649"/>
    <cellStyle name="標準 45 10 11 2 2" xfId="11450"/>
    <cellStyle name="標準 45 10 11 3" xfId="10141"/>
    <cellStyle name="標準 45 10 12" xfId="4466"/>
    <cellStyle name="標準 45 10 12 2" xfId="6739"/>
    <cellStyle name="標準 45 10 12 2 2" xfId="11539"/>
    <cellStyle name="標準 45 10 12 3" xfId="10230"/>
    <cellStyle name="標準 45 10 13" xfId="4562"/>
    <cellStyle name="標準 45 10 13 2" xfId="10319"/>
    <cellStyle name="標準 45 10 14" xfId="2188"/>
    <cellStyle name="標準 45 10 14 2" xfId="11634"/>
    <cellStyle name="標準 45 10 15" xfId="9010"/>
    <cellStyle name="標準 45 10 2" xfId="2494"/>
    <cellStyle name="標準 45 10 2 2" xfId="3040"/>
    <cellStyle name="標準 45 10 2 2 2" xfId="5313"/>
    <cellStyle name="標準 45 10 2 2 2 2" xfId="10925"/>
    <cellStyle name="標準 45 10 2 2 3" xfId="9616"/>
    <cellStyle name="標準 45 10 2 3" xfId="3612"/>
    <cellStyle name="標準 45 10 2 3 2" xfId="5885"/>
    <cellStyle name="標準 45 10 2 3 2 2" xfId="11099"/>
    <cellStyle name="標準 45 10 2 3 3" xfId="9790"/>
    <cellStyle name="標準 45 10 2 4" xfId="4175"/>
    <cellStyle name="標準 45 10 2 4 2" xfId="6448"/>
    <cellStyle name="標準 45 10 2 4 2 2" xfId="11273"/>
    <cellStyle name="標準 45 10 2 4 3" xfId="9964"/>
    <cellStyle name="標準 45 10 2 5" xfId="4774"/>
    <cellStyle name="標準 45 10 2 5 2" xfId="10393"/>
    <cellStyle name="標準 45 10 2 6" xfId="9084"/>
    <cellStyle name="標準 45 10 3" xfId="2588"/>
    <cellStyle name="標準 45 10 3 2" xfId="4866"/>
    <cellStyle name="標準 45 10 3 2 2" xfId="10483"/>
    <cellStyle name="標準 45 10 3 3" xfId="9174"/>
    <cellStyle name="標準 45 10 4" xfId="2678"/>
    <cellStyle name="標準 45 10 4 2" xfId="4956"/>
    <cellStyle name="標準 45 10 4 2 2" xfId="10572"/>
    <cellStyle name="標準 45 10 4 3" xfId="9263"/>
    <cellStyle name="標準 45 10 5" xfId="2773"/>
    <cellStyle name="標準 45 10 5 2" xfId="5046"/>
    <cellStyle name="標準 45 10 5 2 2" xfId="10661"/>
    <cellStyle name="標準 45 10 5 3" xfId="9352"/>
    <cellStyle name="標準 45 10 6" xfId="2863"/>
    <cellStyle name="標準 45 10 6 2" xfId="5136"/>
    <cellStyle name="標準 45 10 6 2 2" xfId="10750"/>
    <cellStyle name="標準 45 10 6 3" xfId="9441"/>
    <cellStyle name="標準 45 10 7" xfId="2952"/>
    <cellStyle name="標準 45 10 7 2" xfId="5225"/>
    <cellStyle name="標準 45 10 7 2 2" xfId="10837"/>
    <cellStyle name="標準 45 10 7 3" xfId="9528"/>
    <cellStyle name="標準 45 10 8" xfId="3383"/>
    <cellStyle name="標準 45 10 8 2" xfId="5656"/>
    <cellStyle name="標準 45 10 8 2 2" xfId="11011"/>
    <cellStyle name="標準 45 10 8 3" xfId="9702"/>
    <cellStyle name="標準 45 10 9" xfId="4082"/>
    <cellStyle name="標準 45 10 9 2" xfId="6355"/>
    <cellStyle name="標準 45 10 9 2 2" xfId="11185"/>
    <cellStyle name="標準 45 10 9 3" xfId="9876"/>
    <cellStyle name="標準 45 11" xfId="2194"/>
    <cellStyle name="標準 45 11 10" xfId="4290"/>
    <cellStyle name="標準 45 11 10 2" xfId="6563"/>
    <cellStyle name="標準 45 11 10 2 2" xfId="11367"/>
    <cellStyle name="標準 45 11 10 3" xfId="10058"/>
    <cellStyle name="標準 45 11 11" xfId="4382"/>
    <cellStyle name="標準 45 11 11 2" xfId="6655"/>
    <cellStyle name="標準 45 11 11 2 2" xfId="11456"/>
    <cellStyle name="標準 45 11 11 3" xfId="10147"/>
    <cellStyle name="標準 45 11 12" xfId="4472"/>
    <cellStyle name="標準 45 11 12 2" xfId="6745"/>
    <cellStyle name="標準 45 11 12 2 2" xfId="11545"/>
    <cellStyle name="標準 45 11 12 3" xfId="10236"/>
    <cellStyle name="標準 45 11 13" xfId="4568"/>
    <cellStyle name="標準 45 11 13 2" xfId="10325"/>
    <cellStyle name="標準 45 11 14" xfId="9016"/>
    <cellStyle name="標準 45 11 2" xfId="2500"/>
    <cellStyle name="標準 45 11 2 2" xfId="3046"/>
    <cellStyle name="標準 45 11 2 2 2" xfId="5319"/>
    <cellStyle name="標準 45 11 2 2 2 2" xfId="10931"/>
    <cellStyle name="標準 45 11 2 2 3" xfId="9622"/>
    <cellStyle name="標準 45 11 2 3" xfId="3618"/>
    <cellStyle name="標準 45 11 2 3 2" xfId="5891"/>
    <cellStyle name="標準 45 11 2 3 2 2" xfId="11105"/>
    <cellStyle name="標準 45 11 2 3 3" xfId="9796"/>
    <cellStyle name="標準 45 11 2 4" xfId="4181"/>
    <cellStyle name="標準 45 11 2 4 2" xfId="6454"/>
    <cellStyle name="標準 45 11 2 4 2 2" xfId="11279"/>
    <cellStyle name="標準 45 11 2 4 3" xfId="9970"/>
    <cellStyle name="標準 45 11 2 5" xfId="4780"/>
    <cellStyle name="標準 45 11 2 5 2" xfId="10399"/>
    <cellStyle name="標準 45 11 2 6" xfId="9090"/>
    <cellStyle name="標準 45 11 3" xfId="2594"/>
    <cellStyle name="標準 45 11 3 2" xfId="4872"/>
    <cellStyle name="標準 45 11 3 2 2" xfId="10489"/>
    <cellStyle name="標準 45 11 3 3" xfId="9180"/>
    <cellStyle name="標準 45 11 4" xfId="2684"/>
    <cellStyle name="標準 45 11 4 2" xfId="4962"/>
    <cellStyle name="標準 45 11 4 2 2" xfId="10578"/>
    <cellStyle name="標準 45 11 4 3" xfId="9269"/>
    <cellStyle name="標準 45 11 5" xfId="2779"/>
    <cellStyle name="標準 45 11 5 2" xfId="5052"/>
    <cellStyle name="標準 45 11 5 2 2" xfId="10667"/>
    <cellStyle name="標準 45 11 5 3" xfId="9358"/>
    <cellStyle name="標準 45 11 6" xfId="2869"/>
    <cellStyle name="標準 45 11 6 2" xfId="5142"/>
    <cellStyle name="標準 45 11 6 2 2" xfId="10756"/>
    <cellStyle name="標準 45 11 6 3" xfId="9447"/>
    <cellStyle name="標準 45 11 7" xfId="2958"/>
    <cellStyle name="標準 45 11 7 2" xfId="5231"/>
    <cellStyle name="標準 45 11 7 2 2" xfId="10843"/>
    <cellStyle name="標準 45 11 7 3" xfId="9534"/>
    <cellStyle name="標準 45 11 8" xfId="3394"/>
    <cellStyle name="標準 45 11 8 2" xfId="5667"/>
    <cellStyle name="標準 45 11 8 2 2" xfId="11017"/>
    <cellStyle name="標準 45 11 8 3" xfId="9708"/>
    <cellStyle name="標準 45 11 9" xfId="4088"/>
    <cellStyle name="標準 45 11 9 2" xfId="6361"/>
    <cellStyle name="標準 45 11 9 2 2" xfId="11191"/>
    <cellStyle name="標準 45 11 9 3" xfId="9882"/>
    <cellStyle name="標準 45 12" xfId="2198"/>
    <cellStyle name="標準 45 12 2" xfId="2507"/>
    <cellStyle name="標準 45 13" xfId="2430"/>
    <cellStyle name="標準 45 13 2" xfId="2964"/>
    <cellStyle name="標準 45 13 2 2" xfId="5237"/>
    <cellStyle name="標準 45 13 2 2 2" xfId="10849"/>
    <cellStyle name="標準 45 13 2 3" xfId="9540"/>
    <cellStyle name="標準 45 13 3" xfId="3531"/>
    <cellStyle name="標準 45 13 3 2" xfId="5804"/>
    <cellStyle name="標準 45 13 3 2 2" xfId="11023"/>
    <cellStyle name="標準 45 13 3 3" xfId="9714"/>
    <cellStyle name="標準 45 13 4" xfId="4099"/>
    <cellStyle name="標準 45 13 4 2" xfId="6372"/>
    <cellStyle name="標準 45 13 4 2 2" xfId="11197"/>
    <cellStyle name="標準 45 13 4 3" xfId="9888"/>
    <cellStyle name="標準 45 13 5" xfId="4712"/>
    <cellStyle name="標準 45 13 5 2" xfId="10332"/>
    <cellStyle name="標準 45 13 6" xfId="9023"/>
    <cellStyle name="標準 45 14" xfId="2512"/>
    <cellStyle name="標準 45 14 2" xfId="4790"/>
    <cellStyle name="標準 45 14 2 2" xfId="10407"/>
    <cellStyle name="標準 45 14 3" xfId="9098"/>
    <cellStyle name="標準 45 15" xfId="2602"/>
    <cellStyle name="標準 45 15 2" xfId="4880"/>
    <cellStyle name="標準 45 15 2 2" xfId="10496"/>
    <cellStyle name="標準 45 15 3" xfId="9187"/>
    <cellStyle name="標準 45 16" xfId="2692"/>
    <cellStyle name="標準 45 16 2" xfId="4970"/>
    <cellStyle name="標準 45 16 2 2" xfId="10585"/>
    <cellStyle name="標準 45 16 3" xfId="9276"/>
    <cellStyle name="標準 45 17" xfId="2787"/>
    <cellStyle name="標準 45 17 2" xfId="5060"/>
    <cellStyle name="標準 45 17 2 2" xfId="10674"/>
    <cellStyle name="標準 45 17 3" xfId="9365"/>
    <cellStyle name="標準 45 18" xfId="2878"/>
    <cellStyle name="標準 45 18 2" xfId="5151"/>
    <cellStyle name="標準 45 18 2 2" xfId="10763"/>
    <cellStyle name="標準 45 18 3" xfId="9454"/>
    <cellStyle name="標準 45 19" xfId="3231"/>
    <cellStyle name="標準 45 19 2" xfId="5504"/>
    <cellStyle name="標準 45 19 2 2" xfId="10937"/>
    <cellStyle name="標準 45 19 3" xfId="9628"/>
    <cellStyle name="標準 45 2" xfId="5"/>
    <cellStyle name="標準 45 2 10" xfId="3985"/>
    <cellStyle name="標準 45 2 10 2" xfId="6258"/>
    <cellStyle name="標準 45 2 10 2 2" xfId="11123"/>
    <cellStyle name="標準 45 2 10 3" xfId="9814"/>
    <cellStyle name="標準 45 2 11" xfId="4225"/>
    <cellStyle name="標準 45 2 11 2" xfId="6498"/>
    <cellStyle name="標準 45 2 11 2 2" xfId="11302"/>
    <cellStyle name="標準 45 2 11 3" xfId="9993"/>
    <cellStyle name="標準 45 2 12" xfId="4317"/>
    <cellStyle name="標準 45 2 12 2" xfId="6590"/>
    <cellStyle name="標準 45 2 12 2 2" xfId="11391"/>
    <cellStyle name="標準 45 2 12 3" xfId="10082"/>
    <cellStyle name="標準 45 2 13" xfId="4407"/>
    <cellStyle name="標準 45 2 13 2" xfId="6680"/>
    <cellStyle name="標準 45 2 13 2 2" xfId="11480"/>
    <cellStyle name="標準 45 2 13 3" xfId="10171"/>
    <cellStyle name="標準 45 2 14" xfId="4503"/>
    <cellStyle name="標準 45 2 14 2" xfId="10260"/>
    <cellStyle name="標準 45 2 15" xfId="2128"/>
    <cellStyle name="標準 45 2 15 2" xfId="11581"/>
    <cellStyle name="標準 45 2 16" xfId="8951"/>
    <cellStyle name="標準 45 2 2" xfId="2199"/>
    <cellStyle name="標準 45 2 3" xfId="2441"/>
    <cellStyle name="標準 45 2 3 2" xfId="2981"/>
    <cellStyle name="標準 45 2 3 2 2" xfId="5254"/>
    <cellStyle name="標準 45 2 3 2 2 2" xfId="10866"/>
    <cellStyle name="標準 45 2 3 2 3" xfId="9557"/>
    <cellStyle name="標準 45 2 3 3" xfId="3552"/>
    <cellStyle name="標準 45 2 3 3 2" xfId="5825"/>
    <cellStyle name="標準 45 2 3 3 2 2" xfId="11040"/>
    <cellStyle name="標準 45 2 3 3 3" xfId="9731"/>
    <cellStyle name="標準 45 2 3 4" xfId="4116"/>
    <cellStyle name="標準 45 2 3 4 2" xfId="6389"/>
    <cellStyle name="標準 45 2 3 4 2 2" xfId="11214"/>
    <cellStyle name="標準 45 2 3 4 3" xfId="9905"/>
    <cellStyle name="標準 45 2 3 5" xfId="4721"/>
    <cellStyle name="標準 45 2 3 5 2" xfId="10340"/>
    <cellStyle name="標準 45 2 3 6" xfId="9031"/>
    <cellStyle name="標準 45 2 4" xfId="2529"/>
    <cellStyle name="標準 45 2 4 2" xfId="4807"/>
    <cellStyle name="標準 45 2 4 2 2" xfId="10424"/>
    <cellStyle name="標準 45 2 4 3" xfId="9115"/>
    <cellStyle name="標準 45 2 5" xfId="2619"/>
    <cellStyle name="標準 45 2 5 2" xfId="4897"/>
    <cellStyle name="標準 45 2 5 2 2" xfId="10513"/>
    <cellStyle name="標準 45 2 5 3" xfId="9204"/>
    <cellStyle name="標準 45 2 6" xfId="2709"/>
    <cellStyle name="標準 45 2 6 2" xfId="4987"/>
    <cellStyle name="標準 45 2 6 2 2" xfId="10602"/>
    <cellStyle name="標準 45 2 6 3" xfId="9293"/>
    <cellStyle name="標準 45 2 7" xfId="2804"/>
    <cellStyle name="標準 45 2 7 2" xfId="5077"/>
    <cellStyle name="標準 45 2 7 2 2" xfId="10691"/>
    <cellStyle name="標準 45 2 7 3" xfId="9382"/>
    <cellStyle name="標準 45 2 8" xfId="2890"/>
    <cellStyle name="標準 45 2 8 2" xfId="5163"/>
    <cellStyle name="標準 45 2 8 2 2" xfId="10775"/>
    <cellStyle name="標準 45 2 8 3" xfId="9466"/>
    <cellStyle name="標準 45 2 9" xfId="3244"/>
    <cellStyle name="標準 45 2 9 2" xfId="5517"/>
    <cellStyle name="標準 45 2 9 2 2" xfId="10949"/>
    <cellStyle name="標準 45 2 9 3" xfId="9640"/>
    <cellStyle name="標準 45 20" xfId="3973"/>
    <cellStyle name="標準 45 20 2" xfId="6246"/>
    <cellStyle name="標準 45 20 2 2" xfId="11111"/>
    <cellStyle name="標準 45 20 3" xfId="9802"/>
    <cellStyle name="標準 45 21" xfId="4208"/>
    <cellStyle name="標準 45 21 2" xfId="6481"/>
    <cellStyle name="標準 45 21 2 2" xfId="11285"/>
    <cellStyle name="標準 45 21 3" xfId="9976"/>
    <cellStyle name="標準 45 22" xfId="4300"/>
    <cellStyle name="標準 45 22 2" xfId="6573"/>
    <cellStyle name="標準 45 22 2 2" xfId="11374"/>
    <cellStyle name="標準 45 22 3" xfId="10065"/>
    <cellStyle name="標準 45 23" xfId="4390"/>
    <cellStyle name="標準 45 23 2" xfId="6663"/>
    <cellStyle name="標準 45 23 2 2" xfId="11463"/>
    <cellStyle name="標準 45 23 3" xfId="10154"/>
    <cellStyle name="標準 45 24" xfId="4486"/>
    <cellStyle name="標準 45 24 2" xfId="10243"/>
    <cellStyle name="標準 45 25" xfId="6836"/>
    <cellStyle name="標準 45 26" xfId="2105"/>
    <cellStyle name="標準 45 26 2" xfId="11573"/>
    <cellStyle name="標準 45 27" xfId="8934"/>
    <cellStyle name="標準 45 3" xfId="1711"/>
    <cellStyle name="標準 45 3 10" xfId="4232"/>
    <cellStyle name="標準 45 3 10 2" xfId="6505"/>
    <cellStyle name="標準 45 3 10 2 2" xfId="11309"/>
    <cellStyle name="標準 45 3 10 3" xfId="10000"/>
    <cellStyle name="標準 45 3 11" xfId="4324"/>
    <cellStyle name="標準 45 3 11 2" xfId="6597"/>
    <cellStyle name="標準 45 3 11 2 2" xfId="11398"/>
    <cellStyle name="標準 45 3 11 3" xfId="10089"/>
    <cellStyle name="標準 45 3 12" xfId="4414"/>
    <cellStyle name="標準 45 3 12 2" xfId="6687"/>
    <cellStyle name="標準 45 3 12 2 2" xfId="11487"/>
    <cellStyle name="標準 45 3 12 3" xfId="10178"/>
    <cellStyle name="標準 45 3 13" xfId="4510"/>
    <cellStyle name="標準 45 3 13 2" xfId="10267"/>
    <cellStyle name="標準 45 3 14" xfId="2136"/>
    <cellStyle name="標準 45 3 14 2" xfId="11584"/>
    <cellStyle name="標準 45 3 15" xfId="8958"/>
    <cellStyle name="標準 45 3 2" xfId="2444"/>
    <cellStyle name="標準 45 3 2 2" xfId="2988"/>
    <cellStyle name="標準 45 3 2 2 2" xfId="5261"/>
    <cellStyle name="標準 45 3 2 2 2 2" xfId="10873"/>
    <cellStyle name="標準 45 3 2 2 3" xfId="9564"/>
    <cellStyle name="標準 45 3 2 3" xfId="3559"/>
    <cellStyle name="標準 45 3 2 3 2" xfId="5832"/>
    <cellStyle name="標準 45 3 2 3 2 2" xfId="11047"/>
    <cellStyle name="標準 45 3 2 3 3" xfId="9738"/>
    <cellStyle name="標準 45 3 2 4" xfId="4123"/>
    <cellStyle name="標準 45 3 2 4 2" xfId="6396"/>
    <cellStyle name="標準 45 3 2 4 2 2" xfId="11221"/>
    <cellStyle name="標準 45 3 2 4 3" xfId="9912"/>
    <cellStyle name="標準 45 3 2 5" xfId="4724"/>
    <cellStyle name="標準 45 3 2 5 2" xfId="10343"/>
    <cellStyle name="標準 45 3 2 6" xfId="9034"/>
    <cellStyle name="標準 45 3 3" xfId="2536"/>
    <cellStyle name="標準 45 3 3 2" xfId="4814"/>
    <cellStyle name="標準 45 3 3 2 2" xfId="10431"/>
    <cellStyle name="標準 45 3 3 3" xfId="9122"/>
    <cellStyle name="標準 45 3 4" xfId="2626"/>
    <cellStyle name="標準 45 3 4 2" xfId="4904"/>
    <cellStyle name="標準 45 3 4 2 2" xfId="10520"/>
    <cellStyle name="標準 45 3 4 3" xfId="9211"/>
    <cellStyle name="標準 45 3 5" xfId="2716"/>
    <cellStyle name="標準 45 3 5 2" xfId="4994"/>
    <cellStyle name="標準 45 3 5 2 2" xfId="10609"/>
    <cellStyle name="標準 45 3 5 3" xfId="9300"/>
    <cellStyle name="標準 45 3 6" xfId="2811"/>
    <cellStyle name="標準 45 3 6 2" xfId="5084"/>
    <cellStyle name="標準 45 3 6 2 2" xfId="10698"/>
    <cellStyle name="標準 45 3 6 3" xfId="9389"/>
    <cellStyle name="標準 45 3 7" xfId="2900"/>
    <cellStyle name="標準 45 3 7 2" xfId="5173"/>
    <cellStyle name="標準 45 3 7 2 2" xfId="10785"/>
    <cellStyle name="標準 45 3 7 3" xfId="9476"/>
    <cellStyle name="標準 45 3 8" xfId="3254"/>
    <cellStyle name="標準 45 3 8 2" xfId="5527"/>
    <cellStyle name="標準 45 3 8 2 2" xfId="10959"/>
    <cellStyle name="標準 45 3 8 3" xfId="9650"/>
    <cellStyle name="標準 45 3 9" xfId="3995"/>
    <cellStyle name="標準 45 3 9 2" xfId="6268"/>
    <cellStyle name="標準 45 3 9 2 2" xfId="11133"/>
    <cellStyle name="標準 45 3 9 3" xfId="9824"/>
    <cellStyle name="標準 45 4" xfId="1712"/>
    <cellStyle name="標準 45 4 10" xfId="4245"/>
    <cellStyle name="標準 45 4 10 2" xfId="6518"/>
    <cellStyle name="標準 45 4 10 2 2" xfId="11322"/>
    <cellStyle name="標準 45 4 10 3" xfId="10013"/>
    <cellStyle name="標準 45 4 11" xfId="4337"/>
    <cellStyle name="標準 45 4 11 2" xfId="6610"/>
    <cellStyle name="標準 45 4 11 2 2" xfId="11411"/>
    <cellStyle name="標準 45 4 11 3" xfId="10102"/>
    <cellStyle name="標準 45 4 12" xfId="4427"/>
    <cellStyle name="標準 45 4 12 2" xfId="6700"/>
    <cellStyle name="標準 45 4 12 2 2" xfId="11500"/>
    <cellStyle name="標準 45 4 12 3" xfId="10191"/>
    <cellStyle name="標準 45 4 13" xfId="4523"/>
    <cellStyle name="標準 45 4 13 2" xfId="10280"/>
    <cellStyle name="標準 45 4 14" xfId="2149"/>
    <cellStyle name="標準 45 4 14 2" xfId="11595"/>
    <cellStyle name="標準 45 4 15" xfId="8971"/>
    <cellStyle name="標準 45 4 2" xfId="2455"/>
    <cellStyle name="標準 45 4 2 2" xfId="3001"/>
    <cellStyle name="標準 45 4 2 2 2" xfId="5274"/>
    <cellStyle name="標準 45 4 2 2 2 2" xfId="10886"/>
    <cellStyle name="標準 45 4 2 2 3" xfId="9577"/>
    <cellStyle name="標準 45 4 2 3" xfId="3572"/>
    <cellStyle name="標準 45 4 2 3 2" xfId="5845"/>
    <cellStyle name="標準 45 4 2 3 2 2" xfId="11060"/>
    <cellStyle name="標準 45 4 2 3 3" xfId="9751"/>
    <cellStyle name="標準 45 4 2 4" xfId="4136"/>
    <cellStyle name="標準 45 4 2 4 2" xfId="6409"/>
    <cellStyle name="標準 45 4 2 4 2 2" xfId="11234"/>
    <cellStyle name="標準 45 4 2 4 3" xfId="9925"/>
    <cellStyle name="標準 45 4 2 5" xfId="4735"/>
    <cellStyle name="標準 45 4 2 5 2" xfId="10354"/>
    <cellStyle name="標準 45 4 2 6" xfId="9045"/>
    <cellStyle name="標準 45 4 3" xfId="2549"/>
    <cellStyle name="標準 45 4 3 2" xfId="4827"/>
    <cellStyle name="標準 45 4 3 2 2" xfId="10444"/>
    <cellStyle name="標準 45 4 3 3" xfId="9135"/>
    <cellStyle name="標準 45 4 4" xfId="2639"/>
    <cellStyle name="標準 45 4 4 2" xfId="4917"/>
    <cellStyle name="標準 45 4 4 2 2" xfId="10533"/>
    <cellStyle name="標準 45 4 4 3" xfId="9224"/>
    <cellStyle name="標準 45 4 5" xfId="2729"/>
    <cellStyle name="標準 45 4 5 2" xfId="5007"/>
    <cellStyle name="標準 45 4 5 2 2" xfId="10622"/>
    <cellStyle name="標準 45 4 5 3" xfId="9313"/>
    <cellStyle name="標準 45 4 6" xfId="2824"/>
    <cellStyle name="標準 45 4 6 2" xfId="5097"/>
    <cellStyle name="標準 45 4 6 2 2" xfId="10711"/>
    <cellStyle name="標準 45 4 6 3" xfId="9402"/>
    <cellStyle name="標準 45 4 7" xfId="2913"/>
    <cellStyle name="標準 45 4 7 2" xfId="5186"/>
    <cellStyle name="標準 45 4 7 2 2" xfId="10798"/>
    <cellStyle name="標準 45 4 7 3" xfId="9489"/>
    <cellStyle name="標準 45 4 8" xfId="3271"/>
    <cellStyle name="標準 45 4 8 2" xfId="5544"/>
    <cellStyle name="標準 45 4 8 2 2" xfId="10972"/>
    <cellStyle name="標準 45 4 8 3" xfId="9663"/>
    <cellStyle name="標準 45 4 9" xfId="4030"/>
    <cellStyle name="標準 45 4 9 2" xfId="6303"/>
    <cellStyle name="標準 45 4 9 2 2" xfId="11146"/>
    <cellStyle name="標準 45 4 9 3" xfId="9837"/>
    <cellStyle name="標準 45 5" xfId="1713"/>
    <cellStyle name="標準 45 6" xfId="1714"/>
    <cellStyle name="標準 45 6 10" xfId="4252"/>
    <cellStyle name="標準 45 6 10 2" xfId="6525"/>
    <cellStyle name="標準 45 6 10 2 2" xfId="11329"/>
    <cellStyle name="標準 45 6 10 3" xfId="10020"/>
    <cellStyle name="標準 45 6 11" xfId="4344"/>
    <cellStyle name="標準 45 6 11 2" xfId="6617"/>
    <cellStyle name="標準 45 6 11 2 2" xfId="11418"/>
    <cellStyle name="標準 45 6 11 3" xfId="10109"/>
    <cellStyle name="標準 45 6 12" xfId="4434"/>
    <cellStyle name="標準 45 6 12 2" xfId="6707"/>
    <cellStyle name="標準 45 6 12 2 2" xfId="11507"/>
    <cellStyle name="標準 45 6 12 3" xfId="10198"/>
    <cellStyle name="標準 45 6 13" xfId="4530"/>
    <cellStyle name="標準 45 6 13 2" xfId="10287"/>
    <cellStyle name="標準 45 6 14" xfId="2156"/>
    <cellStyle name="標準 45 6 14 2" xfId="11602"/>
    <cellStyle name="標準 45 6 15" xfId="8978"/>
    <cellStyle name="標準 45 6 2" xfId="2462"/>
    <cellStyle name="標準 45 6 2 2" xfId="3008"/>
    <cellStyle name="標準 45 6 2 2 2" xfId="5281"/>
    <cellStyle name="標準 45 6 2 2 2 2" xfId="10893"/>
    <cellStyle name="標準 45 6 2 2 3" xfId="9584"/>
    <cellStyle name="標準 45 6 2 3" xfId="3579"/>
    <cellStyle name="標準 45 6 2 3 2" xfId="5852"/>
    <cellStyle name="標準 45 6 2 3 2 2" xfId="11067"/>
    <cellStyle name="標準 45 6 2 3 3" xfId="9758"/>
    <cellStyle name="標準 45 6 2 4" xfId="4143"/>
    <cellStyle name="標準 45 6 2 4 2" xfId="6416"/>
    <cellStyle name="標準 45 6 2 4 2 2" xfId="11241"/>
    <cellStyle name="標準 45 6 2 4 3" xfId="9932"/>
    <cellStyle name="標準 45 6 2 5" xfId="4742"/>
    <cellStyle name="標準 45 6 2 5 2" xfId="10361"/>
    <cellStyle name="標準 45 6 2 6" xfId="9052"/>
    <cellStyle name="標準 45 6 3" xfId="2556"/>
    <cellStyle name="標準 45 6 3 2" xfId="4834"/>
    <cellStyle name="標準 45 6 3 2 2" xfId="10451"/>
    <cellStyle name="標準 45 6 3 3" xfId="9142"/>
    <cellStyle name="標準 45 6 4" xfId="2646"/>
    <cellStyle name="標準 45 6 4 2" xfId="4924"/>
    <cellStyle name="標準 45 6 4 2 2" xfId="10540"/>
    <cellStyle name="標準 45 6 4 3" xfId="9231"/>
    <cellStyle name="標準 45 6 5" xfId="2741"/>
    <cellStyle name="標準 45 6 5 2" xfId="5014"/>
    <cellStyle name="標準 45 6 5 2 2" xfId="10629"/>
    <cellStyle name="標準 45 6 5 3" xfId="9320"/>
    <cellStyle name="標準 45 6 6" xfId="2831"/>
    <cellStyle name="標準 45 6 6 2" xfId="5104"/>
    <cellStyle name="標準 45 6 6 2 2" xfId="10718"/>
    <cellStyle name="標準 45 6 6 3" xfId="9409"/>
    <cellStyle name="標準 45 6 7" xfId="2920"/>
    <cellStyle name="標準 45 6 7 2" xfId="5193"/>
    <cellStyle name="標準 45 6 7 2 2" xfId="10805"/>
    <cellStyle name="標準 45 6 7 3" xfId="9496"/>
    <cellStyle name="標準 45 6 8" xfId="3349"/>
    <cellStyle name="標準 45 6 8 2" xfId="5622"/>
    <cellStyle name="標準 45 6 8 2 2" xfId="10979"/>
    <cellStyle name="標準 45 6 8 3" xfId="9670"/>
    <cellStyle name="標準 45 6 9" xfId="4050"/>
    <cellStyle name="標準 45 6 9 2" xfId="6323"/>
    <cellStyle name="標準 45 6 9 2 2" xfId="11153"/>
    <cellStyle name="標準 45 6 9 3" xfId="9844"/>
    <cellStyle name="標準 45 7" xfId="1715"/>
    <cellStyle name="標準 45 7 10" xfId="4263"/>
    <cellStyle name="標準 45 7 10 2" xfId="6536"/>
    <cellStyle name="標準 45 7 10 2 2" xfId="11340"/>
    <cellStyle name="標準 45 7 10 3" xfId="10031"/>
    <cellStyle name="標準 45 7 11" xfId="4355"/>
    <cellStyle name="標準 45 7 11 2" xfId="6628"/>
    <cellStyle name="標準 45 7 11 2 2" xfId="11429"/>
    <cellStyle name="標準 45 7 11 3" xfId="10120"/>
    <cellStyle name="標準 45 7 12" xfId="4445"/>
    <cellStyle name="標準 45 7 12 2" xfId="6718"/>
    <cellStyle name="標準 45 7 12 2 2" xfId="11518"/>
    <cellStyle name="標準 45 7 12 3" xfId="10209"/>
    <cellStyle name="標準 45 7 13" xfId="4541"/>
    <cellStyle name="標準 45 7 13 2" xfId="10298"/>
    <cellStyle name="標準 45 7 14" xfId="2167"/>
    <cellStyle name="標準 45 7 14 2" xfId="11613"/>
    <cellStyle name="標準 45 7 15" xfId="8989"/>
    <cellStyle name="標準 45 7 2" xfId="2473"/>
    <cellStyle name="標準 45 7 2 2" xfId="3019"/>
    <cellStyle name="標準 45 7 2 2 2" xfId="5292"/>
    <cellStyle name="標準 45 7 2 2 2 2" xfId="10904"/>
    <cellStyle name="標準 45 7 2 2 3" xfId="9595"/>
    <cellStyle name="標準 45 7 2 3" xfId="3590"/>
    <cellStyle name="標準 45 7 2 3 2" xfId="5863"/>
    <cellStyle name="標準 45 7 2 3 2 2" xfId="11078"/>
    <cellStyle name="標準 45 7 2 3 3" xfId="9769"/>
    <cellStyle name="標準 45 7 2 4" xfId="4154"/>
    <cellStyle name="標準 45 7 2 4 2" xfId="6427"/>
    <cellStyle name="標準 45 7 2 4 2 2" xfId="11252"/>
    <cellStyle name="標準 45 7 2 4 3" xfId="9943"/>
    <cellStyle name="標準 45 7 2 5" xfId="4753"/>
    <cellStyle name="標準 45 7 2 5 2" xfId="10372"/>
    <cellStyle name="標準 45 7 2 6" xfId="9063"/>
    <cellStyle name="標準 45 7 3" xfId="2567"/>
    <cellStyle name="標準 45 7 3 2" xfId="4845"/>
    <cellStyle name="標準 45 7 3 2 2" xfId="10462"/>
    <cellStyle name="標準 45 7 3 3" xfId="9153"/>
    <cellStyle name="標準 45 7 4" xfId="2657"/>
    <cellStyle name="標準 45 7 4 2" xfId="4935"/>
    <cellStyle name="標準 45 7 4 2 2" xfId="10551"/>
    <cellStyle name="標準 45 7 4 3" xfId="9242"/>
    <cellStyle name="標準 45 7 5" xfId="2752"/>
    <cellStyle name="標準 45 7 5 2" xfId="5025"/>
    <cellStyle name="標準 45 7 5 2 2" xfId="10640"/>
    <cellStyle name="標準 45 7 5 3" xfId="9331"/>
    <cellStyle name="標準 45 7 6" xfId="2842"/>
    <cellStyle name="標準 45 7 6 2" xfId="5115"/>
    <cellStyle name="標準 45 7 6 2 2" xfId="10729"/>
    <cellStyle name="標準 45 7 6 3" xfId="9420"/>
    <cellStyle name="標準 45 7 7" xfId="2931"/>
    <cellStyle name="標準 45 7 7 2" xfId="5204"/>
    <cellStyle name="標準 45 7 7 2 2" xfId="10816"/>
    <cellStyle name="標準 45 7 7 3" xfId="9507"/>
    <cellStyle name="標準 45 7 8" xfId="3360"/>
    <cellStyle name="標準 45 7 8 2" xfId="5633"/>
    <cellStyle name="標準 45 7 8 2 2" xfId="10990"/>
    <cellStyle name="標準 45 7 8 3" xfId="9681"/>
    <cellStyle name="標準 45 7 9" xfId="4061"/>
    <cellStyle name="標準 45 7 9 2" xfId="6334"/>
    <cellStyle name="標準 45 7 9 2 2" xfId="11164"/>
    <cellStyle name="標準 45 7 9 3" xfId="9855"/>
    <cellStyle name="標準 45 8" xfId="1716"/>
    <cellStyle name="標準 45 8 10" xfId="4270"/>
    <cellStyle name="標準 45 8 10 2" xfId="6543"/>
    <cellStyle name="標準 45 8 10 2 2" xfId="11347"/>
    <cellStyle name="標準 45 8 10 3" xfId="10038"/>
    <cellStyle name="標準 45 8 11" xfId="4362"/>
    <cellStyle name="標準 45 8 11 2" xfId="6635"/>
    <cellStyle name="標準 45 8 11 2 2" xfId="11436"/>
    <cellStyle name="標準 45 8 11 3" xfId="10127"/>
    <cellStyle name="標準 45 8 12" xfId="4452"/>
    <cellStyle name="標準 45 8 12 2" xfId="6725"/>
    <cellStyle name="標準 45 8 12 2 2" xfId="11525"/>
    <cellStyle name="標準 45 8 12 3" xfId="10216"/>
    <cellStyle name="標準 45 8 13" xfId="4548"/>
    <cellStyle name="標準 45 8 13 2" xfId="10305"/>
    <cellStyle name="標準 45 8 14" xfId="2174"/>
    <cellStyle name="標準 45 8 14 2" xfId="11620"/>
    <cellStyle name="標準 45 8 15" xfId="8996"/>
    <cellStyle name="標準 45 8 2" xfId="2480"/>
    <cellStyle name="標準 45 8 2 2" xfId="3026"/>
    <cellStyle name="標準 45 8 2 2 2" xfId="5299"/>
    <cellStyle name="標準 45 8 2 2 2 2" xfId="10911"/>
    <cellStyle name="標準 45 8 2 2 3" xfId="9602"/>
    <cellStyle name="標準 45 8 2 3" xfId="3597"/>
    <cellStyle name="標準 45 8 2 3 2" xfId="5870"/>
    <cellStyle name="標準 45 8 2 3 2 2" xfId="11085"/>
    <cellStyle name="標準 45 8 2 3 3" xfId="9776"/>
    <cellStyle name="標準 45 8 2 4" xfId="4161"/>
    <cellStyle name="標準 45 8 2 4 2" xfId="6434"/>
    <cellStyle name="標準 45 8 2 4 2 2" xfId="11259"/>
    <cellStyle name="標準 45 8 2 4 3" xfId="9950"/>
    <cellStyle name="標準 45 8 2 5" xfId="4760"/>
    <cellStyle name="標準 45 8 2 5 2" xfId="10379"/>
    <cellStyle name="標準 45 8 2 6" xfId="9070"/>
    <cellStyle name="標準 45 8 3" xfId="2574"/>
    <cellStyle name="標準 45 8 3 2" xfId="4852"/>
    <cellStyle name="標準 45 8 3 2 2" xfId="10469"/>
    <cellStyle name="標準 45 8 3 3" xfId="9160"/>
    <cellStyle name="標準 45 8 4" xfId="2664"/>
    <cellStyle name="標準 45 8 4 2" xfId="4942"/>
    <cellStyle name="標準 45 8 4 2 2" xfId="10558"/>
    <cellStyle name="標準 45 8 4 3" xfId="9249"/>
    <cellStyle name="標準 45 8 5" xfId="2759"/>
    <cellStyle name="標準 45 8 5 2" xfId="5032"/>
    <cellStyle name="標準 45 8 5 2 2" xfId="10647"/>
    <cellStyle name="標準 45 8 5 3" xfId="9338"/>
    <cellStyle name="標準 45 8 6" xfId="2849"/>
    <cellStyle name="標準 45 8 6 2" xfId="5122"/>
    <cellStyle name="標準 45 8 6 2 2" xfId="10736"/>
    <cellStyle name="標準 45 8 6 3" xfId="9427"/>
    <cellStyle name="標準 45 8 7" xfId="2938"/>
    <cellStyle name="標準 45 8 7 2" xfId="5211"/>
    <cellStyle name="標準 45 8 7 2 2" xfId="10823"/>
    <cellStyle name="標準 45 8 7 3" xfId="9514"/>
    <cellStyle name="標準 45 8 8" xfId="3367"/>
    <cellStyle name="標準 45 8 8 2" xfId="5640"/>
    <cellStyle name="標準 45 8 8 2 2" xfId="10997"/>
    <cellStyle name="標準 45 8 8 3" xfId="9688"/>
    <cellStyle name="標準 45 8 9" xfId="4068"/>
    <cellStyle name="標準 45 8 9 2" xfId="6341"/>
    <cellStyle name="標準 45 8 9 2 2" xfId="11171"/>
    <cellStyle name="標準 45 8 9 3" xfId="9862"/>
    <cellStyle name="標準 45 9" xfId="1717"/>
    <cellStyle name="標準 45 9 10" xfId="4277"/>
    <cellStyle name="標準 45 9 10 2" xfId="6550"/>
    <cellStyle name="標準 45 9 10 2 2" xfId="11354"/>
    <cellStyle name="標準 45 9 10 3" xfId="10045"/>
    <cellStyle name="標準 45 9 11" xfId="4369"/>
    <cellStyle name="標準 45 9 11 2" xfId="6642"/>
    <cellStyle name="標準 45 9 11 2 2" xfId="11443"/>
    <cellStyle name="標準 45 9 11 3" xfId="10134"/>
    <cellStyle name="標準 45 9 12" xfId="4459"/>
    <cellStyle name="標準 45 9 12 2" xfId="6732"/>
    <cellStyle name="標準 45 9 12 2 2" xfId="11532"/>
    <cellStyle name="標準 45 9 12 3" xfId="10223"/>
    <cellStyle name="標準 45 9 13" xfId="4555"/>
    <cellStyle name="標準 45 9 13 2" xfId="10312"/>
    <cellStyle name="標準 45 9 14" xfId="2181"/>
    <cellStyle name="標準 45 9 14 2" xfId="11627"/>
    <cellStyle name="標準 45 9 15" xfId="9003"/>
    <cellStyle name="標準 45 9 2" xfId="2487"/>
    <cellStyle name="標準 45 9 2 2" xfId="3033"/>
    <cellStyle name="標準 45 9 2 2 2" xfId="5306"/>
    <cellStyle name="標準 45 9 2 2 2 2" xfId="10918"/>
    <cellStyle name="標準 45 9 2 2 3" xfId="9609"/>
    <cellStyle name="標準 45 9 2 3" xfId="3604"/>
    <cellStyle name="標準 45 9 2 3 2" xfId="5877"/>
    <cellStyle name="標準 45 9 2 3 2 2" xfId="11092"/>
    <cellStyle name="標準 45 9 2 3 3" xfId="9783"/>
    <cellStyle name="標準 45 9 2 4" xfId="4168"/>
    <cellStyle name="標準 45 9 2 4 2" xfId="6441"/>
    <cellStyle name="標準 45 9 2 4 2 2" xfId="11266"/>
    <cellStyle name="標準 45 9 2 4 3" xfId="9957"/>
    <cellStyle name="標準 45 9 2 5" xfId="4767"/>
    <cellStyle name="標準 45 9 2 5 2" xfId="10386"/>
    <cellStyle name="標準 45 9 2 6" xfId="9077"/>
    <cellStyle name="標準 45 9 3" xfId="2581"/>
    <cellStyle name="標準 45 9 3 2" xfId="4859"/>
    <cellStyle name="標準 45 9 3 2 2" xfId="10476"/>
    <cellStyle name="標準 45 9 3 3" xfId="9167"/>
    <cellStyle name="標準 45 9 4" xfId="2671"/>
    <cellStyle name="標準 45 9 4 2" xfId="4949"/>
    <cellStyle name="標準 45 9 4 2 2" xfId="10565"/>
    <cellStyle name="標準 45 9 4 3" xfId="9256"/>
    <cellStyle name="標準 45 9 5" xfId="2766"/>
    <cellStyle name="標準 45 9 5 2" xfId="5039"/>
    <cellStyle name="標準 45 9 5 2 2" xfId="10654"/>
    <cellStyle name="標準 45 9 5 3" xfId="9345"/>
    <cellStyle name="標準 45 9 6" xfId="2856"/>
    <cellStyle name="標準 45 9 6 2" xfId="5129"/>
    <cellStyle name="標準 45 9 6 2 2" xfId="10743"/>
    <cellStyle name="標準 45 9 6 3" xfId="9434"/>
    <cellStyle name="標準 45 9 7" xfId="2945"/>
    <cellStyle name="標準 45 9 7 2" xfId="5218"/>
    <cellStyle name="標準 45 9 7 2 2" xfId="10830"/>
    <cellStyle name="標準 45 9 7 3" xfId="9521"/>
    <cellStyle name="標準 45 9 8" xfId="3374"/>
    <cellStyle name="標準 45 9 8 2" xfId="5647"/>
    <cellStyle name="標準 45 9 8 2 2" xfId="11004"/>
    <cellStyle name="標準 45 9 8 3" xfId="9695"/>
    <cellStyle name="標準 45 9 9" xfId="4075"/>
    <cellStyle name="標準 45 9 9 2" xfId="6348"/>
    <cellStyle name="標準 45 9 9 2 2" xfId="11178"/>
    <cellStyle name="標準 45 9 9 3" xfId="9869"/>
    <cellStyle name="標準 46" xfId="1718"/>
    <cellStyle name="標準 47" xfId="1719"/>
    <cellStyle name="標準 47 2" xfId="1720"/>
    <cellStyle name="標準 47 3" xfId="2118"/>
    <cellStyle name="標準 47 3 10" xfId="4307"/>
    <cellStyle name="標準 47 3 10 2" xfId="6580"/>
    <cellStyle name="標準 47 3 10 2 2" xfId="11381"/>
    <cellStyle name="標準 47 3 10 3" xfId="10072"/>
    <cellStyle name="標準 47 3 11" xfId="4397"/>
    <cellStyle name="標準 47 3 11 2" xfId="6670"/>
    <cellStyle name="標準 47 3 11 2 2" xfId="11470"/>
    <cellStyle name="標準 47 3 11 3" xfId="10161"/>
    <cellStyle name="標準 47 3 12" xfId="4493"/>
    <cellStyle name="標準 47 3 12 2" xfId="10250"/>
    <cellStyle name="標準 47 3 13" xfId="8941"/>
    <cellStyle name="標準 47 3 2" xfId="2519"/>
    <cellStyle name="標準 47 3 2 2" xfId="4797"/>
    <cellStyle name="標準 47 3 2 2 2" xfId="10414"/>
    <cellStyle name="標準 47 3 2 3" xfId="9105"/>
    <cellStyle name="標準 47 3 3" xfId="2609"/>
    <cellStyle name="標準 47 3 3 2" xfId="4887"/>
    <cellStyle name="標準 47 3 3 2 2" xfId="10503"/>
    <cellStyle name="標準 47 3 3 3" xfId="9194"/>
    <cellStyle name="標準 47 3 4" xfId="2699"/>
    <cellStyle name="標準 47 3 4 2" xfId="4977"/>
    <cellStyle name="標準 47 3 4 2 2" xfId="10592"/>
    <cellStyle name="標準 47 3 4 3" xfId="9283"/>
    <cellStyle name="標準 47 3 5" xfId="2794"/>
    <cellStyle name="標準 47 3 5 2" xfId="5067"/>
    <cellStyle name="標準 47 3 5 2 2" xfId="10681"/>
    <cellStyle name="標準 47 3 5 3" xfId="9372"/>
    <cellStyle name="標準 47 3 6" xfId="2971"/>
    <cellStyle name="標準 47 3 6 2" xfId="5244"/>
    <cellStyle name="標準 47 3 6 2 2" xfId="10856"/>
    <cellStyle name="標準 47 3 6 3" xfId="9547"/>
    <cellStyle name="標準 47 3 7" xfId="3542"/>
    <cellStyle name="標準 47 3 7 2" xfId="5815"/>
    <cellStyle name="標準 47 3 7 2 2" xfId="11030"/>
    <cellStyle name="標準 47 3 7 3" xfId="9721"/>
    <cellStyle name="標準 47 3 8" xfId="4106"/>
    <cellStyle name="標準 47 3 8 2" xfId="6379"/>
    <cellStyle name="標準 47 3 8 2 2" xfId="11204"/>
    <cellStyle name="標準 47 3 8 3" xfId="9895"/>
    <cellStyle name="標準 47 3 9" xfId="4215"/>
    <cellStyle name="標準 47 3 9 2" xfId="6488"/>
    <cellStyle name="標準 47 3 9 2 2" xfId="11292"/>
    <cellStyle name="標準 47 3 9 3" xfId="9983"/>
    <cellStyle name="標準 47 4" xfId="2874"/>
    <cellStyle name="標準 47 4 2" xfId="5147"/>
    <cellStyle name="標準 47 4 2 2" xfId="10761"/>
    <cellStyle name="標準 47 4 3" xfId="9452"/>
    <cellStyle name="標準 47 5" xfId="3050"/>
    <cellStyle name="標準 47 5 2" xfId="5323"/>
    <cellStyle name="標準 47 5 2 2" xfId="10935"/>
    <cellStyle name="標準 47 5 3" xfId="9626"/>
    <cellStyle name="標準 47 6" xfId="3757"/>
    <cellStyle name="標準 47 6 2" xfId="6030"/>
    <cellStyle name="標準 47 6 2 2" xfId="11109"/>
    <cellStyle name="標準 47 6 3" xfId="9800"/>
    <cellStyle name="標準 47 7" xfId="6837"/>
    <cellStyle name="標準 48" xfId="1721"/>
    <cellStyle name="標準 48 2" xfId="1722"/>
    <cellStyle name="標準 48 3" xfId="2119"/>
    <cellStyle name="標準 48 3 10" xfId="4308"/>
    <cellStyle name="標準 48 3 10 2" xfId="6581"/>
    <cellStyle name="標準 48 3 10 2 2" xfId="11382"/>
    <cellStyle name="標準 48 3 10 3" xfId="10073"/>
    <cellStyle name="標準 48 3 11" xfId="4398"/>
    <cellStyle name="標準 48 3 11 2" xfId="6671"/>
    <cellStyle name="標準 48 3 11 2 2" xfId="11471"/>
    <cellStyle name="標準 48 3 11 3" xfId="10162"/>
    <cellStyle name="標準 48 3 12" xfId="4494"/>
    <cellStyle name="標準 48 3 12 2" xfId="10251"/>
    <cellStyle name="標準 48 3 13" xfId="8942"/>
    <cellStyle name="標準 48 3 2" xfId="2520"/>
    <cellStyle name="標準 48 3 2 2" xfId="4798"/>
    <cellStyle name="標準 48 3 2 2 2" xfId="10415"/>
    <cellStyle name="標準 48 3 2 3" xfId="9106"/>
    <cellStyle name="標準 48 3 3" xfId="2610"/>
    <cellStyle name="標準 48 3 3 2" xfId="4888"/>
    <cellStyle name="標準 48 3 3 2 2" xfId="10504"/>
    <cellStyle name="標準 48 3 3 3" xfId="9195"/>
    <cellStyle name="標準 48 3 4" xfId="2700"/>
    <cellStyle name="標準 48 3 4 2" xfId="4978"/>
    <cellStyle name="標準 48 3 4 2 2" xfId="10593"/>
    <cellStyle name="標準 48 3 4 3" xfId="9284"/>
    <cellStyle name="標準 48 3 5" xfId="2795"/>
    <cellStyle name="標準 48 3 5 2" xfId="5068"/>
    <cellStyle name="標準 48 3 5 2 2" xfId="10682"/>
    <cellStyle name="標準 48 3 5 3" xfId="9373"/>
    <cellStyle name="標準 48 3 6" xfId="2972"/>
    <cellStyle name="標準 48 3 6 2" xfId="5245"/>
    <cellStyle name="標準 48 3 6 2 2" xfId="10857"/>
    <cellStyle name="標準 48 3 6 3" xfId="9548"/>
    <cellStyle name="標準 48 3 7" xfId="3543"/>
    <cellStyle name="標準 48 3 7 2" xfId="5816"/>
    <cellStyle name="標準 48 3 7 2 2" xfId="11031"/>
    <cellStyle name="標準 48 3 7 3" xfId="9722"/>
    <cellStyle name="標準 48 3 8" xfId="4107"/>
    <cellStyle name="標準 48 3 8 2" xfId="6380"/>
    <cellStyle name="標準 48 3 8 2 2" xfId="11205"/>
    <cellStyle name="標準 48 3 8 3" xfId="9896"/>
    <cellStyle name="標準 48 3 9" xfId="4216"/>
    <cellStyle name="標準 48 3 9 2" xfId="6489"/>
    <cellStyle name="標準 48 3 9 2 2" xfId="11293"/>
    <cellStyle name="標準 48 3 9 3" xfId="9984"/>
    <cellStyle name="標準 48 4" xfId="2880"/>
    <cellStyle name="標準 48 4 2" xfId="5153"/>
    <cellStyle name="標準 48 4 2 2" xfId="10765"/>
    <cellStyle name="標準 48 4 3" xfId="9456"/>
    <cellStyle name="標準 48 5" xfId="3234"/>
    <cellStyle name="標準 48 5 2" xfId="5507"/>
    <cellStyle name="標準 48 5 2 2" xfId="10939"/>
    <cellStyle name="標準 48 5 3" xfId="9630"/>
    <cellStyle name="標準 48 6" xfId="3975"/>
    <cellStyle name="標準 48 6 2" xfId="6248"/>
    <cellStyle name="標準 48 6 2 2" xfId="11113"/>
    <cellStyle name="標準 48 6 3" xfId="9804"/>
    <cellStyle name="標準 49" xfId="1723"/>
    <cellStyle name="標準 49 2" xfId="1724"/>
    <cellStyle name="標準 49 3" xfId="2120"/>
    <cellStyle name="標準 49 3 10" xfId="4309"/>
    <cellStyle name="標準 49 3 10 2" xfId="6582"/>
    <cellStyle name="標準 49 3 10 2 2" xfId="11383"/>
    <cellStyle name="標準 49 3 10 3" xfId="10074"/>
    <cellStyle name="標準 49 3 11" xfId="4399"/>
    <cellStyle name="標準 49 3 11 2" xfId="6672"/>
    <cellStyle name="標準 49 3 11 2 2" xfId="11472"/>
    <cellStyle name="標準 49 3 11 3" xfId="10163"/>
    <cellStyle name="標準 49 3 12" xfId="4495"/>
    <cellStyle name="標準 49 3 12 2" xfId="10252"/>
    <cellStyle name="標準 49 3 13" xfId="8943"/>
    <cellStyle name="標準 49 3 2" xfId="2521"/>
    <cellStyle name="標準 49 3 2 2" xfId="4799"/>
    <cellStyle name="標準 49 3 2 2 2" xfId="10416"/>
    <cellStyle name="標準 49 3 2 3" xfId="9107"/>
    <cellStyle name="標準 49 3 3" xfId="2611"/>
    <cellStyle name="標準 49 3 3 2" xfId="4889"/>
    <cellStyle name="標準 49 3 3 2 2" xfId="10505"/>
    <cellStyle name="標準 49 3 3 3" xfId="9196"/>
    <cellStyle name="標準 49 3 4" xfId="2701"/>
    <cellStyle name="標準 49 3 4 2" xfId="4979"/>
    <cellStyle name="標準 49 3 4 2 2" xfId="10594"/>
    <cellStyle name="標準 49 3 4 3" xfId="9285"/>
    <cellStyle name="標準 49 3 5" xfId="2796"/>
    <cellStyle name="標準 49 3 5 2" xfId="5069"/>
    <cellStyle name="標準 49 3 5 2 2" xfId="10683"/>
    <cellStyle name="標準 49 3 5 3" xfId="9374"/>
    <cellStyle name="標準 49 3 6" xfId="2973"/>
    <cellStyle name="標準 49 3 6 2" xfId="5246"/>
    <cellStyle name="標準 49 3 6 2 2" xfId="10858"/>
    <cellStyle name="標準 49 3 6 3" xfId="9549"/>
    <cellStyle name="標準 49 3 7" xfId="3544"/>
    <cellStyle name="標準 49 3 7 2" xfId="5817"/>
    <cellStyle name="標準 49 3 7 2 2" xfId="11032"/>
    <cellStyle name="標準 49 3 7 3" xfId="9723"/>
    <cellStyle name="標準 49 3 8" xfId="4108"/>
    <cellStyle name="標準 49 3 8 2" xfId="6381"/>
    <cellStyle name="標準 49 3 8 2 2" xfId="11206"/>
    <cellStyle name="標準 49 3 8 3" xfId="9897"/>
    <cellStyle name="標準 49 3 9" xfId="4217"/>
    <cellStyle name="標準 49 3 9 2" xfId="6490"/>
    <cellStyle name="標準 49 3 9 2 2" xfId="11294"/>
    <cellStyle name="標準 49 3 9 3" xfId="9985"/>
    <cellStyle name="標準 49 4" xfId="2881"/>
    <cellStyle name="標準 49 4 2" xfId="5154"/>
    <cellStyle name="標準 49 4 2 2" xfId="10766"/>
    <cellStyle name="標準 49 4 3" xfId="9457"/>
    <cellStyle name="標準 49 5" xfId="3235"/>
    <cellStyle name="標準 49 5 2" xfId="5508"/>
    <cellStyle name="標準 49 5 2 2" xfId="10940"/>
    <cellStyle name="標準 49 5 3" xfId="9631"/>
    <cellStyle name="標準 49 6" xfId="3976"/>
    <cellStyle name="標準 49 6 2" xfId="6249"/>
    <cellStyle name="標準 49 6 2 2" xfId="11114"/>
    <cellStyle name="標準 49 6 3" xfId="9805"/>
    <cellStyle name="標準 5" xfId="1725"/>
    <cellStyle name="標準 5 2" xfId="1726"/>
    <cellStyle name="標準 5 2 2" xfId="1727"/>
    <cellStyle name="標準 5 2 3" xfId="1728"/>
    <cellStyle name="標準 5 3" xfId="1729"/>
    <cellStyle name="標準 5 3 2" xfId="1730"/>
    <cellStyle name="標準 5 3 3" xfId="1731"/>
    <cellStyle name="標準 5 3 4" xfId="1732"/>
    <cellStyle name="標準 5 3 5" xfId="1733"/>
    <cellStyle name="標準 5 4" xfId="1734"/>
    <cellStyle name="標準 5 4 2" xfId="1735"/>
    <cellStyle name="標準 5_【基本設計】SOR判定結果内訳_別紙【集計結果計算方法】" xfId="1736"/>
    <cellStyle name="標準 50" xfId="1737"/>
    <cellStyle name="標準 50 2" xfId="1738"/>
    <cellStyle name="標準 50 3" xfId="2121"/>
    <cellStyle name="標準 50 3 10" xfId="4310"/>
    <cellStyle name="標準 50 3 10 2" xfId="6583"/>
    <cellStyle name="標準 50 3 10 2 2" xfId="11384"/>
    <cellStyle name="標準 50 3 10 3" xfId="10075"/>
    <cellStyle name="標準 50 3 11" xfId="4400"/>
    <cellStyle name="標準 50 3 11 2" xfId="6673"/>
    <cellStyle name="標準 50 3 11 2 2" xfId="11473"/>
    <cellStyle name="標準 50 3 11 3" xfId="10164"/>
    <cellStyle name="標準 50 3 12" xfId="4496"/>
    <cellStyle name="標準 50 3 12 2" xfId="10253"/>
    <cellStyle name="標準 50 3 13" xfId="8944"/>
    <cellStyle name="標準 50 3 2" xfId="2522"/>
    <cellStyle name="標準 50 3 2 2" xfId="4800"/>
    <cellStyle name="標準 50 3 2 2 2" xfId="10417"/>
    <cellStyle name="標準 50 3 2 3" xfId="9108"/>
    <cellStyle name="標準 50 3 3" xfId="2612"/>
    <cellStyle name="標準 50 3 3 2" xfId="4890"/>
    <cellStyle name="標準 50 3 3 2 2" xfId="10506"/>
    <cellStyle name="標準 50 3 3 3" xfId="9197"/>
    <cellStyle name="標準 50 3 4" xfId="2702"/>
    <cellStyle name="標準 50 3 4 2" xfId="4980"/>
    <cellStyle name="標準 50 3 4 2 2" xfId="10595"/>
    <cellStyle name="標準 50 3 4 3" xfId="9286"/>
    <cellStyle name="標準 50 3 5" xfId="2797"/>
    <cellStyle name="標準 50 3 5 2" xfId="5070"/>
    <cellStyle name="標準 50 3 5 2 2" xfId="10684"/>
    <cellStyle name="標準 50 3 5 3" xfId="9375"/>
    <cellStyle name="標準 50 3 6" xfId="2974"/>
    <cellStyle name="標準 50 3 6 2" xfId="5247"/>
    <cellStyle name="標準 50 3 6 2 2" xfId="10859"/>
    <cellStyle name="標準 50 3 6 3" xfId="9550"/>
    <cellStyle name="標準 50 3 7" xfId="3545"/>
    <cellStyle name="標準 50 3 7 2" xfId="5818"/>
    <cellStyle name="標準 50 3 7 2 2" xfId="11033"/>
    <cellStyle name="標準 50 3 7 3" xfId="9724"/>
    <cellStyle name="標準 50 3 8" xfId="4109"/>
    <cellStyle name="標準 50 3 8 2" xfId="6382"/>
    <cellStyle name="標準 50 3 8 2 2" xfId="11207"/>
    <cellStyle name="標準 50 3 8 3" xfId="9898"/>
    <cellStyle name="標準 50 3 9" xfId="4218"/>
    <cellStyle name="標準 50 3 9 2" xfId="6491"/>
    <cellStyle name="標準 50 3 9 2 2" xfId="11295"/>
    <cellStyle name="標準 50 3 9 3" xfId="9986"/>
    <cellStyle name="標準 50 4" xfId="2882"/>
    <cellStyle name="標準 50 4 2" xfId="5155"/>
    <cellStyle name="標準 50 4 2 2" xfId="10767"/>
    <cellStyle name="標準 50 4 3" xfId="9458"/>
    <cellStyle name="標準 50 5" xfId="3236"/>
    <cellStyle name="標準 50 5 2" xfId="5509"/>
    <cellStyle name="標準 50 5 2 2" xfId="10941"/>
    <cellStyle name="標準 50 5 3" xfId="9632"/>
    <cellStyle name="標準 50 6" xfId="3977"/>
    <cellStyle name="標準 50 6 2" xfId="6250"/>
    <cellStyle name="標準 50 6 2 2" xfId="11115"/>
    <cellStyle name="標準 50 6 3" xfId="9806"/>
    <cellStyle name="標準 51" xfId="1739"/>
    <cellStyle name="標準 51 2" xfId="1740"/>
    <cellStyle name="標準 51 3" xfId="2127"/>
    <cellStyle name="標準 51 3 10" xfId="4316"/>
    <cellStyle name="標準 51 3 10 2" xfId="6589"/>
    <cellStyle name="標準 51 3 10 2 2" xfId="11390"/>
    <cellStyle name="標準 51 3 10 3" xfId="10081"/>
    <cellStyle name="標準 51 3 11" xfId="4406"/>
    <cellStyle name="標準 51 3 11 2" xfId="6679"/>
    <cellStyle name="標準 51 3 11 2 2" xfId="11479"/>
    <cellStyle name="標準 51 3 11 3" xfId="10170"/>
    <cellStyle name="標準 51 3 12" xfId="4502"/>
    <cellStyle name="標準 51 3 12 2" xfId="10259"/>
    <cellStyle name="標準 51 3 13" xfId="8950"/>
    <cellStyle name="標準 51 3 2" xfId="2528"/>
    <cellStyle name="標準 51 3 2 2" xfId="4806"/>
    <cellStyle name="標準 51 3 2 2 2" xfId="10423"/>
    <cellStyle name="標準 51 3 2 3" xfId="9114"/>
    <cellStyle name="標準 51 3 3" xfId="2618"/>
    <cellStyle name="標準 51 3 3 2" xfId="4896"/>
    <cellStyle name="標準 51 3 3 2 2" xfId="10512"/>
    <cellStyle name="標準 51 3 3 3" xfId="9203"/>
    <cellStyle name="標準 51 3 4" xfId="2708"/>
    <cellStyle name="標準 51 3 4 2" xfId="4986"/>
    <cellStyle name="標準 51 3 4 2 2" xfId="10601"/>
    <cellStyle name="標準 51 3 4 3" xfId="9292"/>
    <cellStyle name="標準 51 3 5" xfId="2803"/>
    <cellStyle name="標準 51 3 5 2" xfId="5076"/>
    <cellStyle name="標準 51 3 5 2 2" xfId="10690"/>
    <cellStyle name="標準 51 3 5 3" xfId="9381"/>
    <cellStyle name="標準 51 3 6" xfId="2980"/>
    <cellStyle name="標準 51 3 6 2" xfId="5253"/>
    <cellStyle name="標準 51 3 6 2 2" xfId="10865"/>
    <cellStyle name="標準 51 3 6 3" xfId="9556"/>
    <cellStyle name="標準 51 3 7" xfId="3551"/>
    <cellStyle name="標準 51 3 7 2" xfId="5824"/>
    <cellStyle name="標準 51 3 7 2 2" xfId="11039"/>
    <cellStyle name="標準 51 3 7 3" xfId="9730"/>
    <cellStyle name="標準 51 3 8" xfId="4115"/>
    <cellStyle name="標準 51 3 8 2" xfId="6388"/>
    <cellStyle name="標準 51 3 8 2 2" xfId="11213"/>
    <cellStyle name="標準 51 3 8 3" xfId="9904"/>
    <cellStyle name="標準 51 3 9" xfId="4224"/>
    <cellStyle name="標準 51 3 9 2" xfId="6497"/>
    <cellStyle name="標準 51 3 9 2 2" xfId="11301"/>
    <cellStyle name="標準 51 3 9 3" xfId="9992"/>
    <cellStyle name="標準 51 4" xfId="2889"/>
    <cellStyle name="標準 51 4 2" xfId="5162"/>
    <cellStyle name="標準 51 4 2 2" xfId="10774"/>
    <cellStyle name="標準 51 4 3" xfId="9465"/>
    <cellStyle name="標準 51 5" xfId="3243"/>
    <cellStyle name="標準 51 5 2" xfId="5516"/>
    <cellStyle name="標準 51 5 2 2" xfId="10948"/>
    <cellStyle name="標準 51 5 3" xfId="9639"/>
    <cellStyle name="標準 51 6" xfId="3984"/>
    <cellStyle name="標準 51 6 2" xfId="6257"/>
    <cellStyle name="標準 51 6 2 2" xfId="11122"/>
    <cellStyle name="標準 51 6 3" xfId="9813"/>
    <cellStyle name="標準 52" xfId="1741"/>
    <cellStyle name="標準 52 2" xfId="1742"/>
    <cellStyle name="標準 52 3" xfId="2123"/>
    <cellStyle name="標準 52 3 10" xfId="4312"/>
    <cellStyle name="標準 52 3 10 2" xfId="6585"/>
    <cellStyle name="標準 52 3 10 2 2" xfId="11386"/>
    <cellStyle name="標準 52 3 10 3" xfId="10077"/>
    <cellStyle name="標準 52 3 11" xfId="4402"/>
    <cellStyle name="標準 52 3 11 2" xfId="6675"/>
    <cellStyle name="標準 52 3 11 2 2" xfId="11475"/>
    <cellStyle name="標準 52 3 11 3" xfId="10166"/>
    <cellStyle name="標準 52 3 12" xfId="4498"/>
    <cellStyle name="標準 52 3 12 2" xfId="10255"/>
    <cellStyle name="標準 52 3 13" xfId="8946"/>
    <cellStyle name="標準 52 3 2" xfId="2524"/>
    <cellStyle name="標準 52 3 2 2" xfId="4802"/>
    <cellStyle name="標準 52 3 2 2 2" xfId="10419"/>
    <cellStyle name="標準 52 3 2 3" xfId="9110"/>
    <cellStyle name="標準 52 3 3" xfId="2614"/>
    <cellStyle name="標準 52 3 3 2" xfId="4892"/>
    <cellStyle name="標準 52 3 3 2 2" xfId="10508"/>
    <cellStyle name="標準 52 3 3 3" xfId="9199"/>
    <cellStyle name="標準 52 3 4" xfId="2704"/>
    <cellStyle name="標準 52 3 4 2" xfId="4982"/>
    <cellStyle name="標準 52 3 4 2 2" xfId="10597"/>
    <cellStyle name="標準 52 3 4 3" xfId="9288"/>
    <cellStyle name="標準 52 3 5" xfId="2799"/>
    <cellStyle name="標準 52 3 5 2" xfId="5072"/>
    <cellStyle name="標準 52 3 5 2 2" xfId="10686"/>
    <cellStyle name="標準 52 3 5 3" xfId="9377"/>
    <cellStyle name="標準 52 3 6" xfId="2976"/>
    <cellStyle name="標準 52 3 6 2" xfId="5249"/>
    <cellStyle name="標準 52 3 6 2 2" xfId="10861"/>
    <cellStyle name="標準 52 3 6 3" xfId="9552"/>
    <cellStyle name="標準 52 3 7" xfId="3547"/>
    <cellStyle name="標準 52 3 7 2" xfId="5820"/>
    <cellStyle name="標準 52 3 7 2 2" xfId="11035"/>
    <cellStyle name="標準 52 3 7 3" xfId="9726"/>
    <cellStyle name="標準 52 3 8" xfId="4111"/>
    <cellStyle name="標準 52 3 8 2" xfId="6384"/>
    <cellStyle name="標準 52 3 8 2 2" xfId="11209"/>
    <cellStyle name="標準 52 3 8 3" xfId="9900"/>
    <cellStyle name="標準 52 3 9" xfId="4220"/>
    <cellStyle name="標準 52 3 9 2" xfId="6493"/>
    <cellStyle name="標準 52 3 9 2 2" xfId="11297"/>
    <cellStyle name="標準 52 3 9 3" xfId="9988"/>
    <cellStyle name="標準 52 4" xfId="2884"/>
    <cellStyle name="標準 52 4 2" xfId="5157"/>
    <cellStyle name="標準 52 4 2 2" xfId="10769"/>
    <cellStyle name="標準 52 4 3" xfId="9460"/>
    <cellStyle name="標準 52 5" xfId="3238"/>
    <cellStyle name="標準 52 5 2" xfId="5511"/>
    <cellStyle name="標準 52 5 2 2" xfId="10943"/>
    <cellStyle name="標準 52 5 3" xfId="9634"/>
    <cellStyle name="標準 52 6" xfId="3979"/>
    <cellStyle name="標準 52 6 2" xfId="6252"/>
    <cellStyle name="標準 52 6 2 2" xfId="11117"/>
    <cellStyle name="標準 52 6 3" xfId="9808"/>
    <cellStyle name="標準 53" xfId="1743"/>
    <cellStyle name="標準 53 2" xfId="1744"/>
    <cellStyle name="標準 53 3" xfId="2132"/>
    <cellStyle name="標準 53 3 10" xfId="4321"/>
    <cellStyle name="標準 53 3 10 2" xfId="6594"/>
    <cellStyle name="標準 53 3 10 2 2" xfId="11395"/>
    <cellStyle name="標準 53 3 10 3" xfId="10086"/>
    <cellStyle name="標準 53 3 11" xfId="4411"/>
    <cellStyle name="標準 53 3 11 2" xfId="6684"/>
    <cellStyle name="標準 53 3 11 2 2" xfId="11484"/>
    <cellStyle name="標準 53 3 11 3" xfId="10175"/>
    <cellStyle name="標準 53 3 12" xfId="4507"/>
    <cellStyle name="標準 53 3 12 2" xfId="10264"/>
    <cellStyle name="標準 53 3 13" xfId="8955"/>
    <cellStyle name="標準 53 3 2" xfId="2533"/>
    <cellStyle name="標準 53 3 2 2" xfId="4811"/>
    <cellStyle name="標準 53 3 2 2 2" xfId="10428"/>
    <cellStyle name="標準 53 3 2 3" xfId="9119"/>
    <cellStyle name="標準 53 3 3" xfId="2623"/>
    <cellStyle name="標準 53 3 3 2" xfId="4901"/>
    <cellStyle name="標準 53 3 3 2 2" xfId="10517"/>
    <cellStyle name="標準 53 3 3 3" xfId="9208"/>
    <cellStyle name="標準 53 3 4" xfId="2713"/>
    <cellStyle name="標準 53 3 4 2" xfId="4991"/>
    <cellStyle name="標準 53 3 4 2 2" xfId="10606"/>
    <cellStyle name="標準 53 3 4 3" xfId="9297"/>
    <cellStyle name="標準 53 3 5" xfId="2808"/>
    <cellStyle name="標準 53 3 5 2" xfId="5081"/>
    <cellStyle name="標準 53 3 5 2 2" xfId="10695"/>
    <cellStyle name="標準 53 3 5 3" xfId="9386"/>
    <cellStyle name="標準 53 3 6" xfId="2985"/>
    <cellStyle name="標準 53 3 6 2" xfId="5258"/>
    <cellStyle name="標準 53 3 6 2 2" xfId="10870"/>
    <cellStyle name="標準 53 3 6 3" xfId="9561"/>
    <cellStyle name="標準 53 3 7" xfId="3556"/>
    <cellStyle name="標準 53 3 7 2" xfId="5829"/>
    <cellStyle name="標準 53 3 7 2 2" xfId="11044"/>
    <cellStyle name="標準 53 3 7 3" xfId="9735"/>
    <cellStyle name="標準 53 3 8" xfId="4120"/>
    <cellStyle name="標準 53 3 8 2" xfId="6393"/>
    <cellStyle name="標準 53 3 8 2 2" xfId="11218"/>
    <cellStyle name="標準 53 3 8 3" xfId="9909"/>
    <cellStyle name="標準 53 3 9" xfId="4229"/>
    <cellStyle name="標準 53 3 9 2" xfId="6502"/>
    <cellStyle name="標準 53 3 9 2 2" xfId="11306"/>
    <cellStyle name="標準 53 3 9 3" xfId="9997"/>
    <cellStyle name="標準 53 4" xfId="2895"/>
    <cellStyle name="標準 53 4 2" xfId="5168"/>
    <cellStyle name="標準 53 4 2 2" xfId="10780"/>
    <cellStyle name="標準 53 4 3" xfId="9471"/>
    <cellStyle name="標準 53 5" xfId="3249"/>
    <cellStyle name="標準 53 5 2" xfId="5522"/>
    <cellStyle name="標準 53 5 2 2" xfId="10954"/>
    <cellStyle name="標準 53 5 3" xfId="9645"/>
    <cellStyle name="標準 53 6" xfId="3990"/>
    <cellStyle name="標準 53 6 2" xfId="6263"/>
    <cellStyle name="標準 53 6 2 2" xfId="11128"/>
    <cellStyle name="標準 53 6 3" xfId="9819"/>
    <cellStyle name="標準 54" xfId="1745"/>
    <cellStyle name="標準 54 2" xfId="1746"/>
    <cellStyle name="標準 54 3" xfId="2124"/>
    <cellStyle name="標準 54 3 10" xfId="4313"/>
    <cellStyle name="標準 54 3 10 2" xfId="6586"/>
    <cellStyle name="標準 54 3 10 2 2" xfId="11387"/>
    <cellStyle name="標準 54 3 10 3" xfId="10078"/>
    <cellStyle name="標準 54 3 11" xfId="4403"/>
    <cellStyle name="標準 54 3 11 2" xfId="6676"/>
    <cellStyle name="標準 54 3 11 2 2" xfId="11476"/>
    <cellStyle name="標準 54 3 11 3" xfId="10167"/>
    <cellStyle name="標準 54 3 12" xfId="4499"/>
    <cellStyle name="標準 54 3 12 2" xfId="10256"/>
    <cellStyle name="標準 54 3 13" xfId="8947"/>
    <cellStyle name="標準 54 3 2" xfId="2525"/>
    <cellStyle name="標準 54 3 2 2" xfId="4803"/>
    <cellStyle name="標準 54 3 2 2 2" xfId="10420"/>
    <cellStyle name="標準 54 3 2 3" xfId="9111"/>
    <cellStyle name="標準 54 3 3" xfId="2615"/>
    <cellStyle name="標準 54 3 3 2" xfId="4893"/>
    <cellStyle name="標準 54 3 3 2 2" xfId="10509"/>
    <cellStyle name="標準 54 3 3 3" xfId="9200"/>
    <cellStyle name="標準 54 3 4" xfId="2705"/>
    <cellStyle name="標準 54 3 4 2" xfId="4983"/>
    <cellStyle name="標準 54 3 4 2 2" xfId="10598"/>
    <cellStyle name="標準 54 3 4 3" xfId="9289"/>
    <cellStyle name="標準 54 3 5" xfId="2800"/>
    <cellStyle name="標準 54 3 5 2" xfId="5073"/>
    <cellStyle name="標準 54 3 5 2 2" xfId="10687"/>
    <cellStyle name="標準 54 3 5 3" xfId="9378"/>
    <cellStyle name="標準 54 3 6" xfId="2977"/>
    <cellStyle name="標準 54 3 6 2" xfId="5250"/>
    <cellStyle name="標準 54 3 6 2 2" xfId="10862"/>
    <cellStyle name="標準 54 3 6 3" xfId="9553"/>
    <cellStyle name="標準 54 3 7" xfId="3548"/>
    <cellStyle name="標準 54 3 7 2" xfId="5821"/>
    <cellStyle name="標準 54 3 7 2 2" xfId="11036"/>
    <cellStyle name="標準 54 3 7 3" xfId="9727"/>
    <cellStyle name="標準 54 3 8" xfId="4112"/>
    <cellStyle name="標準 54 3 8 2" xfId="6385"/>
    <cellStyle name="標準 54 3 8 2 2" xfId="11210"/>
    <cellStyle name="標準 54 3 8 3" xfId="9901"/>
    <cellStyle name="標準 54 3 9" xfId="4221"/>
    <cellStyle name="標準 54 3 9 2" xfId="6494"/>
    <cellStyle name="標準 54 3 9 2 2" xfId="11298"/>
    <cellStyle name="標準 54 3 9 3" xfId="9989"/>
    <cellStyle name="標準 54 4" xfId="2885"/>
    <cellStyle name="標準 54 4 2" xfId="5158"/>
    <cellStyle name="標準 54 4 2 2" xfId="10770"/>
    <cellStyle name="標準 54 4 3" xfId="9461"/>
    <cellStyle name="標準 54 5" xfId="3239"/>
    <cellStyle name="標準 54 5 2" xfId="5512"/>
    <cellStyle name="標準 54 5 2 2" xfId="10944"/>
    <cellStyle name="標準 54 5 3" xfId="9635"/>
    <cellStyle name="標準 54 6" xfId="3980"/>
    <cellStyle name="標準 54 6 2" xfId="6253"/>
    <cellStyle name="標準 54 6 2 2" xfId="11118"/>
    <cellStyle name="標準 54 6 3" xfId="9809"/>
    <cellStyle name="標準 55" xfId="1747"/>
    <cellStyle name="標準 55 2" xfId="1748"/>
    <cellStyle name="標準 55 3" xfId="2131"/>
    <cellStyle name="標準 55 3 10" xfId="4320"/>
    <cellStyle name="標準 55 3 10 2" xfId="6593"/>
    <cellStyle name="標準 55 3 10 2 2" xfId="11394"/>
    <cellStyle name="標準 55 3 10 3" xfId="10085"/>
    <cellStyle name="標準 55 3 11" xfId="4410"/>
    <cellStyle name="標準 55 3 11 2" xfId="6683"/>
    <cellStyle name="標準 55 3 11 2 2" xfId="11483"/>
    <cellStyle name="標準 55 3 11 3" xfId="10174"/>
    <cellStyle name="標準 55 3 12" xfId="4506"/>
    <cellStyle name="標準 55 3 12 2" xfId="10263"/>
    <cellStyle name="標準 55 3 13" xfId="8954"/>
    <cellStyle name="標準 55 3 2" xfId="2532"/>
    <cellStyle name="標準 55 3 2 2" xfId="4810"/>
    <cellStyle name="標準 55 3 2 2 2" xfId="10427"/>
    <cellStyle name="標準 55 3 2 3" xfId="9118"/>
    <cellStyle name="標準 55 3 3" xfId="2622"/>
    <cellStyle name="標準 55 3 3 2" xfId="4900"/>
    <cellStyle name="標準 55 3 3 2 2" xfId="10516"/>
    <cellStyle name="標準 55 3 3 3" xfId="9207"/>
    <cellStyle name="標準 55 3 4" xfId="2712"/>
    <cellStyle name="標準 55 3 4 2" xfId="4990"/>
    <cellStyle name="標準 55 3 4 2 2" xfId="10605"/>
    <cellStyle name="標準 55 3 4 3" xfId="9296"/>
    <cellStyle name="標準 55 3 5" xfId="2807"/>
    <cellStyle name="標準 55 3 5 2" xfId="5080"/>
    <cellStyle name="標準 55 3 5 2 2" xfId="10694"/>
    <cellStyle name="標準 55 3 5 3" xfId="9385"/>
    <cellStyle name="標準 55 3 6" xfId="2984"/>
    <cellStyle name="標準 55 3 6 2" xfId="5257"/>
    <cellStyle name="標準 55 3 6 2 2" xfId="10869"/>
    <cellStyle name="標準 55 3 6 3" xfId="9560"/>
    <cellStyle name="標準 55 3 7" xfId="3555"/>
    <cellStyle name="標準 55 3 7 2" xfId="5828"/>
    <cellStyle name="標準 55 3 7 2 2" xfId="11043"/>
    <cellStyle name="標準 55 3 7 3" xfId="9734"/>
    <cellStyle name="標準 55 3 8" xfId="4119"/>
    <cellStyle name="標準 55 3 8 2" xfId="6392"/>
    <cellStyle name="標準 55 3 8 2 2" xfId="11217"/>
    <cellStyle name="標準 55 3 8 3" xfId="9908"/>
    <cellStyle name="標準 55 3 9" xfId="4228"/>
    <cellStyle name="標準 55 3 9 2" xfId="6501"/>
    <cellStyle name="標準 55 3 9 2 2" xfId="11305"/>
    <cellStyle name="標準 55 3 9 3" xfId="9996"/>
    <cellStyle name="標準 55 4" xfId="2894"/>
    <cellStyle name="標準 55 4 2" xfId="5167"/>
    <cellStyle name="標準 55 4 2 2" xfId="10779"/>
    <cellStyle name="標準 55 4 3" xfId="9470"/>
    <cellStyle name="標準 55 5" xfId="3248"/>
    <cellStyle name="標準 55 5 2" xfId="5521"/>
    <cellStyle name="標準 55 5 2 2" xfId="10953"/>
    <cellStyle name="標準 55 5 3" xfId="9644"/>
    <cellStyle name="標準 55 6" xfId="3989"/>
    <cellStyle name="標準 55 6 2" xfId="6262"/>
    <cellStyle name="標準 55 6 2 2" xfId="11127"/>
    <cellStyle name="標準 55 6 3" xfId="9818"/>
    <cellStyle name="標準 56" xfId="1749"/>
    <cellStyle name="標準 56 2" xfId="1750"/>
    <cellStyle name="標準 56 3" xfId="2125"/>
    <cellStyle name="標準 56 3 10" xfId="4314"/>
    <cellStyle name="標準 56 3 10 2" xfId="6587"/>
    <cellStyle name="標準 56 3 10 2 2" xfId="11388"/>
    <cellStyle name="標準 56 3 10 3" xfId="10079"/>
    <cellStyle name="標準 56 3 11" xfId="4404"/>
    <cellStyle name="標準 56 3 11 2" xfId="6677"/>
    <cellStyle name="標準 56 3 11 2 2" xfId="11477"/>
    <cellStyle name="標準 56 3 11 3" xfId="10168"/>
    <cellStyle name="標準 56 3 12" xfId="4500"/>
    <cellStyle name="標準 56 3 12 2" xfId="10257"/>
    <cellStyle name="標準 56 3 13" xfId="8948"/>
    <cellStyle name="標準 56 3 2" xfId="2526"/>
    <cellStyle name="標準 56 3 2 2" xfId="4804"/>
    <cellStyle name="標準 56 3 2 2 2" xfId="10421"/>
    <cellStyle name="標準 56 3 2 3" xfId="9112"/>
    <cellStyle name="標準 56 3 3" xfId="2616"/>
    <cellStyle name="標準 56 3 3 2" xfId="4894"/>
    <cellStyle name="標準 56 3 3 2 2" xfId="10510"/>
    <cellStyle name="標準 56 3 3 3" xfId="9201"/>
    <cellStyle name="標準 56 3 4" xfId="2706"/>
    <cellStyle name="標準 56 3 4 2" xfId="4984"/>
    <cellStyle name="標準 56 3 4 2 2" xfId="10599"/>
    <cellStyle name="標準 56 3 4 3" xfId="9290"/>
    <cellStyle name="標準 56 3 5" xfId="2801"/>
    <cellStyle name="標準 56 3 5 2" xfId="5074"/>
    <cellStyle name="標準 56 3 5 2 2" xfId="10688"/>
    <cellStyle name="標準 56 3 5 3" xfId="9379"/>
    <cellStyle name="標準 56 3 6" xfId="2978"/>
    <cellStyle name="標準 56 3 6 2" xfId="5251"/>
    <cellStyle name="標準 56 3 6 2 2" xfId="10863"/>
    <cellStyle name="標準 56 3 6 3" xfId="9554"/>
    <cellStyle name="標準 56 3 7" xfId="3549"/>
    <cellStyle name="標準 56 3 7 2" xfId="5822"/>
    <cellStyle name="標準 56 3 7 2 2" xfId="11037"/>
    <cellStyle name="標準 56 3 7 3" xfId="9728"/>
    <cellStyle name="標準 56 3 8" xfId="4113"/>
    <cellStyle name="標準 56 3 8 2" xfId="6386"/>
    <cellStyle name="標準 56 3 8 2 2" xfId="11211"/>
    <cellStyle name="標準 56 3 8 3" xfId="9902"/>
    <cellStyle name="標準 56 3 9" xfId="4222"/>
    <cellStyle name="標準 56 3 9 2" xfId="6495"/>
    <cellStyle name="標準 56 3 9 2 2" xfId="11299"/>
    <cellStyle name="標準 56 3 9 3" xfId="9990"/>
    <cellStyle name="標準 56 4" xfId="2886"/>
    <cellStyle name="標準 56 4 2" xfId="5159"/>
    <cellStyle name="標準 56 4 2 2" xfId="10771"/>
    <cellStyle name="標準 56 4 3" xfId="9462"/>
    <cellStyle name="標準 56 5" xfId="3240"/>
    <cellStyle name="標準 56 5 2" xfId="5513"/>
    <cellStyle name="標準 56 5 2 2" xfId="10945"/>
    <cellStyle name="標準 56 5 3" xfId="9636"/>
    <cellStyle name="標準 56 6" xfId="3981"/>
    <cellStyle name="標準 56 6 2" xfId="6254"/>
    <cellStyle name="標準 56 6 2 2" xfId="11119"/>
    <cellStyle name="標準 56 6 3" xfId="9810"/>
    <cellStyle name="標準 57" xfId="1751"/>
    <cellStyle name="標準 57 2" xfId="1752"/>
    <cellStyle name="標準 57 3" xfId="2130"/>
    <cellStyle name="標準 57 3 10" xfId="4319"/>
    <cellStyle name="標準 57 3 10 2" xfId="6592"/>
    <cellStyle name="標準 57 3 10 2 2" xfId="11393"/>
    <cellStyle name="標準 57 3 10 3" xfId="10084"/>
    <cellStyle name="標準 57 3 11" xfId="4409"/>
    <cellStyle name="標準 57 3 11 2" xfId="6682"/>
    <cellStyle name="標準 57 3 11 2 2" xfId="11482"/>
    <cellStyle name="標準 57 3 11 3" xfId="10173"/>
    <cellStyle name="標準 57 3 12" xfId="4505"/>
    <cellStyle name="標準 57 3 12 2" xfId="10262"/>
    <cellStyle name="標準 57 3 13" xfId="8953"/>
    <cellStyle name="標準 57 3 2" xfId="2531"/>
    <cellStyle name="標準 57 3 2 2" xfId="4809"/>
    <cellStyle name="標準 57 3 2 2 2" xfId="10426"/>
    <cellStyle name="標準 57 3 2 3" xfId="9117"/>
    <cellStyle name="標準 57 3 3" xfId="2621"/>
    <cellStyle name="標準 57 3 3 2" xfId="4899"/>
    <cellStyle name="標準 57 3 3 2 2" xfId="10515"/>
    <cellStyle name="標準 57 3 3 3" xfId="9206"/>
    <cellStyle name="標準 57 3 4" xfId="2711"/>
    <cellStyle name="標準 57 3 4 2" xfId="4989"/>
    <cellStyle name="標準 57 3 4 2 2" xfId="10604"/>
    <cellStyle name="標準 57 3 4 3" xfId="9295"/>
    <cellStyle name="標準 57 3 5" xfId="2806"/>
    <cellStyle name="標準 57 3 5 2" xfId="5079"/>
    <cellStyle name="標準 57 3 5 2 2" xfId="10693"/>
    <cellStyle name="標準 57 3 5 3" xfId="9384"/>
    <cellStyle name="標準 57 3 6" xfId="2983"/>
    <cellStyle name="標準 57 3 6 2" xfId="5256"/>
    <cellStyle name="標準 57 3 6 2 2" xfId="10868"/>
    <cellStyle name="標準 57 3 6 3" xfId="9559"/>
    <cellStyle name="標準 57 3 7" xfId="3554"/>
    <cellStyle name="標準 57 3 7 2" xfId="5827"/>
    <cellStyle name="標準 57 3 7 2 2" xfId="11042"/>
    <cellStyle name="標準 57 3 7 3" xfId="9733"/>
    <cellStyle name="標準 57 3 8" xfId="4118"/>
    <cellStyle name="標準 57 3 8 2" xfId="6391"/>
    <cellStyle name="標準 57 3 8 2 2" xfId="11216"/>
    <cellStyle name="標準 57 3 8 3" xfId="9907"/>
    <cellStyle name="標準 57 3 9" xfId="4227"/>
    <cellStyle name="標準 57 3 9 2" xfId="6500"/>
    <cellStyle name="標準 57 3 9 2 2" xfId="11304"/>
    <cellStyle name="標準 57 3 9 3" xfId="9995"/>
    <cellStyle name="標準 57 4" xfId="2893"/>
    <cellStyle name="標準 57 4 2" xfId="5166"/>
    <cellStyle name="標準 57 4 2 2" xfId="10778"/>
    <cellStyle name="標準 57 4 3" xfId="9469"/>
    <cellStyle name="標準 57 5" xfId="3247"/>
    <cellStyle name="標準 57 5 2" xfId="5520"/>
    <cellStyle name="標準 57 5 2 2" xfId="10952"/>
    <cellStyle name="標準 57 5 3" xfId="9643"/>
    <cellStyle name="標準 57 6" xfId="3988"/>
    <cellStyle name="標準 57 6 2" xfId="6261"/>
    <cellStyle name="標準 57 6 2 2" xfId="11126"/>
    <cellStyle name="標準 57 6 3" xfId="9817"/>
    <cellStyle name="標準 58" xfId="1753"/>
    <cellStyle name="標準 58 2" xfId="1754"/>
    <cellStyle name="標準 58 3" xfId="2126"/>
    <cellStyle name="標準 58 3 10" xfId="4315"/>
    <cellStyle name="標準 58 3 10 2" xfId="6588"/>
    <cellStyle name="標準 58 3 10 2 2" xfId="11389"/>
    <cellStyle name="標準 58 3 10 3" xfId="10080"/>
    <cellStyle name="標準 58 3 11" xfId="4405"/>
    <cellStyle name="標準 58 3 11 2" xfId="6678"/>
    <cellStyle name="標準 58 3 11 2 2" xfId="11478"/>
    <cellStyle name="標準 58 3 11 3" xfId="10169"/>
    <cellStyle name="標準 58 3 12" xfId="4501"/>
    <cellStyle name="標準 58 3 12 2" xfId="10258"/>
    <cellStyle name="標準 58 3 13" xfId="8949"/>
    <cellStyle name="標準 58 3 2" xfId="2527"/>
    <cellStyle name="標準 58 3 2 2" xfId="4805"/>
    <cellStyle name="標準 58 3 2 2 2" xfId="10422"/>
    <cellStyle name="標準 58 3 2 3" xfId="9113"/>
    <cellStyle name="標準 58 3 3" xfId="2617"/>
    <cellStyle name="標準 58 3 3 2" xfId="4895"/>
    <cellStyle name="標準 58 3 3 2 2" xfId="10511"/>
    <cellStyle name="標準 58 3 3 3" xfId="9202"/>
    <cellStyle name="標準 58 3 4" xfId="2707"/>
    <cellStyle name="標準 58 3 4 2" xfId="4985"/>
    <cellStyle name="標準 58 3 4 2 2" xfId="10600"/>
    <cellStyle name="標準 58 3 4 3" xfId="9291"/>
    <cellStyle name="標準 58 3 5" xfId="2802"/>
    <cellStyle name="標準 58 3 5 2" xfId="5075"/>
    <cellStyle name="標準 58 3 5 2 2" xfId="10689"/>
    <cellStyle name="標準 58 3 5 3" xfId="9380"/>
    <cellStyle name="標準 58 3 6" xfId="2979"/>
    <cellStyle name="標準 58 3 6 2" xfId="5252"/>
    <cellStyle name="標準 58 3 6 2 2" xfId="10864"/>
    <cellStyle name="標準 58 3 6 3" xfId="9555"/>
    <cellStyle name="標準 58 3 7" xfId="3550"/>
    <cellStyle name="標準 58 3 7 2" xfId="5823"/>
    <cellStyle name="標準 58 3 7 2 2" xfId="11038"/>
    <cellStyle name="標準 58 3 7 3" xfId="9729"/>
    <cellStyle name="標準 58 3 8" xfId="4114"/>
    <cellStyle name="標準 58 3 8 2" xfId="6387"/>
    <cellStyle name="標準 58 3 8 2 2" xfId="11212"/>
    <cellStyle name="標準 58 3 8 3" xfId="9903"/>
    <cellStyle name="標準 58 3 9" xfId="4223"/>
    <cellStyle name="標準 58 3 9 2" xfId="6496"/>
    <cellStyle name="標準 58 3 9 2 2" xfId="11300"/>
    <cellStyle name="標準 58 3 9 3" xfId="9991"/>
    <cellStyle name="標準 58 4" xfId="2887"/>
    <cellStyle name="標準 58 4 2" xfId="5160"/>
    <cellStyle name="標準 58 4 2 2" xfId="10772"/>
    <cellStyle name="標準 58 4 3" xfId="9463"/>
    <cellStyle name="標準 58 5" xfId="3241"/>
    <cellStyle name="標準 58 5 2" xfId="5514"/>
    <cellStyle name="標準 58 5 2 2" xfId="10946"/>
    <cellStyle name="標準 58 5 3" xfId="9637"/>
    <cellStyle name="標準 58 6" xfId="3982"/>
    <cellStyle name="標準 58 6 2" xfId="6255"/>
    <cellStyle name="標準 58 6 2 2" xfId="11120"/>
    <cellStyle name="標準 58 6 3" xfId="9811"/>
    <cellStyle name="標準 59" xfId="1755"/>
    <cellStyle name="標準 59 10" xfId="4210"/>
    <cellStyle name="標準 59 10 2" xfId="6483"/>
    <cellStyle name="標準 59 10 2 2" xfId="11287"/>
    <cellStyle name="標準 59 10 3" xfId="9978"/>
    <cellStyle name="標準 59 11" xfId="4302"/>
    <cellStyle name="標準 59 11 2" xfId="6575"/>
    <cellStyle name="標準 59 11 2 2" xfId="11376"/>
    <cellStyle name="標準 59 11 3" xfId="10067"/>
    <cellStyle name="標準 59 12" xfId="4392"/>
    <cellStyle name="標準 59 12 2" xfId="6665"/>
    <cellStyle name="標準 59 12 2 2" xfId="11465"/>
    <cellStyle name="標準 59 12 3" xfId="10156"/>
    <cellStyle name="標準 59 13" xfId="4488"/>
    <cellStyle name="標準 59 13 2" xfId="10245"/>
    <cellStyle name="標準 59 14" xfId="2109"/>
    <cellStyle name="標準 59 14 2" xfId="11575"/>
    <cellStyle name="標準 59 15" xfId="8936"/>
    <cellStyle name="標準 59 2" xfId="2433"/>
    <cellStyle name="標準 59 2 2" xfId="2966"/>
    <cellStyle name="標準 59 2 2 2" xfId="5239"/>
    <cellStyle name="標準 59 2 2 2 2" xfId="10851"/>
    <cellStyle name="標準 59 2 2 3" xfId="9542"/>
    <cellStyle name="標準 59 2 3" xfId="3535"/>
    <cellStyle name="標準 59 2 3 2" xfId="5808"/>
    <cellStyle name="標準 59 2 3 2 2" xfId="11025"/>
    <cellStyle name="標準 59 2 3 3" xfId="9716"/>
    <cellStyle name="標準 59 2 4" xfId="4101"/>
    <cellStyle name="標準 59 2 4 2" xfId="6374"/>
    <cellStyle name="標準 59 2 4 2 2" xfId="11199"/>
    <cellStyle name="標準 59 2 4 3" xfId="9890"/>
    <cellStyle name="標準 59 2 5" xfId="4715"/>
    <cellStyle name="標準 59 2 5 2" xfId="10334"/>
    <cellStyle name="標準 59 2 6" xfId="9025"/>
    <cellStyle name="標準 59 3" xfId="2514"/>
    <cellStyle name="標準 59 3 2" xfId="4792"/>
    <cellStyle name="標準 59 3 2 2" xfId="10409"/>
    <cellStyle name="標準 59 3 3" xfId="9100"/>
    <cellStyle name="標準 59 4" xfId="2604"/>
    <cellStyle name="標準 59 4 2" xfId="4882"/>
    <cellStyle name="標準 59 4 2 2" xfId="10498"/>
    <cellStyle name="標準 59 4 3" xfId="9189"/>
    <cellStyle name="標準 59 5" xfId="2694"/>
    <cellStyle name="標準 59 5 2" xfId="4972"/>
    <cellStyle name="標準 59 5 2 2" xfId="10587"/>
    <cellStyle name="標準 59 5 3" xfId="9278"/>
    <cellStyle name="標準 59 6" xfId="2789"/>
    <cellStyle name="標準 59 6 2" xfId="5062"/>
    <cellStyle name="標準 59 6 2 2" xfId="10676"/>
    <cellStyle name="標準 59 6 3" xfId="9367"/>
    <cellStyle name="標準 59 7" xfId="2892"/>
    <cellStyle name="標準 59 7 2" xfId="5165"/>
    <cellStyle name="標準 59 7 2 2" xfId="10777"/>
    <cellStyle name="標準 59 7 3" xfId="9468"/>
    <cellStyle name="標準 59 8" xfId="3246"/>
    <cellStyle name="標準 59 8 2" xfId="5519"/>
    <cellStyle name="標準 59 8 2 2" xfId="10951"/>
    <cellStyle name="標準 59 8 3" xfId="9642"/>
    <cellStyle name="標準 59 9" xfId="3987"/>
    <cellStyle name="標準 59 9 2" xfId="6260"/>
    <cellStyle name="標準 59 9 2 2" xfId="11125"/>
    <cellStyle name="標準 59 9 3" xfId="9816"/>
    <cellStyle name="標準 6" xfId="1756"/>
    <cellStyle name="標準 6 2" xfId="1757"/>
    <cellStyle name="標準 6 2 2" xfId="1758"/>
    <cellStyle name="標準 6 2 3" xfId="1759"/>
    <cellStyle name="標準 6 2 3 2" xfId="1760"/>
    <cellStyle name="標準 6 3" xfId="1761"/>
    <cellStyle name="標準 6 3 2" xfId="1762"/>
    <cellStyle name="標準 6 3 3" xfId="1763"/>
    <cellStyle name="標準 6 3 3 2" xfId="1764"/>
    <cellStyle name="標準 6 4" xfId="1765"/>
    <cellStyle name="標準 6 4 2" xfId="1766"/>
    <cellStyle name="標準 6 4 2 2" xfId="1767"/>
    <cellStyle name="標準 6 4 2 3" xfId="1768"/>
    <cellStyle name="標準 6 4 2 3 2" xfId="1769"/>
    <cellStyle name="標準 6 4 2 3 3" xfId="1770"/>
    <cellStyle name="標準 6 4 3" xfId="1771"/>
    <cellStyle name="標準 6 4 3 2" xfId="1772"/>
    <cellStyle name="標準 6 4 3 2 2" xfId="1773"/>
    <cellStyle name="標準 6 4 3 2 3" xfId="1774"/>
    <cellStyle name="標準 6 5" xfId="1775"/>
    <cellStyle name="標準 6 5 2" xfId="1776"/>
    <cellStyle name="標準 6 5 2 2" xfId="1777"/>
    <cellStyle name="標準 6 6" xfId="6838"/>
    <cellStyle name="標準 6_バックアップセンタ_切替テストスケジュール_20120406~10" xfId="1778"/>
    <cellStyle name="標準 60" xfId="1779"/>
    <cellStyle name="標準 60 10" xfId="4212"/>
    <cellStyle name="標準 60 10 2" xfId="6485"/>
    <cellStyle name="標準 60 10 2 2" xfId="11289"/>
    <cellStyle name="標準 60 10 3" xfId="9980"/>
    <cellStyle name="標準 60 11" xfId="4304"/>
    <cellStyle name="標準 60 11 2" xfId="6577"/>
    <cellStyle name="標準 60 11 2 2" xfId="11378"/>
    <cellStyle name="標準 60 11 3" xfId="10069"/>
    <cellStyle name="標準 60 12" xfId="4394"/>
    <cellStyle name="標準 60 12 2" xfId="6667"/>
    <cellStyle name="標準 60 12 2 2" xfId="11467"/>
    <cellStyle name="標準 60 12 3" xfId="10158"/>
    <cellStyle name="標準 60 13" xfId="4490"/>
    <cellStyle name="標準 60 13 2" xfId="10247"/>
    <cellStyle name="標準 60 14" xfId="2113"/>
    <cellStyle name="標準 60 14 2" xfId="11577"/>
    <cellStyle name="標準 60 15" xfId="8938"/>
    <cellStyle name="標準 60 2" xfId="2437"/>
    <cellStyle name="標準 60 2 2" xfId="2968"/>
    <cellStyle name="標準 60 2 2 2" xfId="5241"/>
    <cellStyle name="標準 60 2 2 2 2" xfId="10853"/>
    <cellStyle name="標準 60 2 2 3" xfId="9544"/>
    <cellStyle name="標準 60 2 3" xfId="3539"/>
    <cellStyle name="標準 60 2 3 2" xfId="5812"/>
    <cellStyle name="標準 60 2 3 2 2" xfId="11027"/>
    <cellStyle name="標準 60 2 3 3" xfId="9718"/>
    <cellStyle name="標準 60 2 4" xfId="4103"/>
    <cellStyle name="標準 60 2 4 2" xfId="6376"/>
    <cellStyle name="標準 60 2 4 2 2" xfId="11201"/>
    <cellStyle name="標準 60 2 4 3" xfId="9892"/>
    <cellStyle name="標準 60 2 5" xfId="4717"/>
    <cellStyle name="標準 60 2 5 2" xfId="10336"/>
    <cellStyle name="標準 60 2 6" xfId="9027"/>
    <cellStyle name="標準 60 3" xfId="2516"/>
    <cellStyle name="標準 60 3 2" xfId="4794"/>
    <cellStyle name="標準 60 3 2 2" xfId="10411"/>
    <cellStyle name="標準 60 3 3" xfId="9102"/>
    <cellStyle name="標準 60 4" xfId="2606"/>
    <cellStyle name="標準 60 4 2" xfId="4884"/>
    <cellStyle name="標準 60 4 2 2" xfId="10500"/>
    <cellStyle name="標準 60 4 3" xfId="9191"/>
    <cellStyle name="標準 60 5" xfId="2696"/>
    <cellStyle name="標準 60 5 2" xfId="4974"/>
    <cellStyle name="標準 60 5 2 2" xfId="10589"/>
    <cellStyle name="標準 60 5 3" xfId="9280"/>
    <cellStyle name="標準 60 6" xfId="2791"/>
    <cellStyle name="標準 60 6 2" xfId="5064"/>
    <cellStyle name="標準 60 6 2 2" xfId="10678"/>
    <cellStyle name="標準 60 6 3" xfId="9369"/>
    <cellStyle name="標準 60 7" xfId="2888"/>
    <cellStyle name="標準 60 7 2" xfId="5161"/>
    <cellStyle name="標準 60 7 2 2" xfId="10773"/>
    <cellStyle name="標準 60 7 3" xfId="9464"/>
    <cellStyle name="標準 60 8" xfId="3242"/>
    <cellStyle name="標準 60 8 2" xfId="5515"/>
    <cellStyle name="標準 60 8 2 2" xfId="10947"/>
    <cellStyle name="標準 60 8 3" xfId="9638"/>
    <cellStyle name="標準 60 9" xfId="3983"/>
    <cellStyle name="標準 60 9 2" xfId="6256"/>
    <cellStyle name="標準 60 9 2 2" xfId="11121"/>
    <cellStyle name="標準 60 9 3" xfId="9812"/>
    <cellStyle name="標準 61" xfId="1780"/>
    <cellStyle name="標準 61 2" xfId="2134"/>
    <cellStyle name="標準 61 2 10" xfId="4322"/>
    <cellStyle name="標準 61 2 10 2" xfId="6595"/>
    <cellStyle name="標準 61 2 10 2 2" xfId="11396"/>
    <cellStyle name="標準 61 2 10 3" xfId="10087"/>
    <cellStyle name="標準 61 2 11" xfId="4412"/>
    <cellStyle name="標準 61 2 11 2" xfId="6685"/>
    <cellStyle name="標準 61 2 11 2 2" xfId="11485"/>
    <cellStyle name="標準 61 2 11 3" xfId="10176"/>
    <cellStyle name="標準 61 2 12" xfId="4508"/>
    <cellStyle name="標準 61 2 12 2" xfId="10265"/>
    <cellStyle name="標準 61 2 13" xfId="8956"/>
    <cellStyle name="標準 61 2 2" xfId="2534"/>
    <cellStyle name="標準 61 2 2 2" xfId="4812"/>
    <cellStyle name="標準 61 2 2 2 2" xfId="10429"/>
    <cellStyle name="標準 61 2 2 3" xfId="9120"/>
    <cellStyle name="標準 61 2 3" xfId="2624"/>
    <cellStyle name="標準 61 2 3 2" xfId="4902"/>
    <cellStyle name="標準 61 2 3 2 2" xfId="10518"/>
    <cellStyle name="標準 61 2 3 3" xfId="9209"/>
    <cellStyle name="標準 61 2 4" xfId="2714"/>
    <cellStyle name="標準 61 2 4 2" xfId="4992"/>
    <cellStyle name="標準 61 2 4 2 2" xfId="10607"/>
    <cellStyle name="標準 61 2 4 3" xfId="9298"/>
    <cellStyle name="標準 61 2 5" xfId="2809"/>
    <cellStyle name="標準 61 2 5 2" xfId="5082"/>
    <cellStyle name="標準 61 2 5 2 2" xfId="10696"/>
    <cellStyle name="標準 61 2 5 3" xfId="9387"/>
    <cellStyle name="標準 61 2 6" xfId="2986"/>
    <cellStyle name="標準 61 2 6 2" xfId="5259"/>
    <cellStyle name="標準 61 2 6 2 2" xfId="10871"/>
    <cellStyle name="標準 61 2 6 3" xfId="9562"/>
    <cellStyle name="標準 61 2 7" xfId="3557"/>
    <cellStyle name="標準 61 2 7 2" xfId="5830"/>
    <cellStyle name="標準 61 2 7 2 2" xfId="11045"/>
    <cellStyle name="標準 61 2 7 3" xfId="9736"/>
    <cellStyle name="標準 61 2 8" xfId="4121"/>
    <cellStyle name="標準 61 2 8 2" xfId="6394"/>
    <cellStyle name="標準 61 2 8 2 2" xfId="11219"/>
    <cellStyle name="標準 61 2 8 3" xfId="9910"/>
    <cellStyle name="標準 61 2 9" xfId="4230"/>
    <cellStyle name="標準 61 2 9 2" xfId="6503"/>
    <cellStyle name="標準 61 2 9 2 2" xfId="11307"/>
    <cellStyle name="標準 61 2 9 3" xfId="9998"/>
    <cellStyle name="標準 61 3" xfId="2432"/>
    <cellStyle name="標準 61 4" xfId="2896"/>
    <cellStyle name="標準 61 4 2" xfId="5169"/>
    <cellStyle name="標準 61 4 2 2" xfId="10781"/>
    <cellStyle name="標準 61 4 3" xfId="9472"/>
    <cellStyle name="標準 61 5" xfId="3250"/>
    <cellStyle name="標準 61 5 2" xfId="5523"/>
    <cellStyle name="標準 61 5 2 2" xfId="10955"/>
    <cellStyle name="標準 61 5 3" xfId="9646"/>
    <cellStyle name="標準 61 6" xfId="3991"/>
    <cellStyle name="標準 61 6 2" xfId="6264"/>
    <cellStyle name="標準 61 6 2 2" xfId="11129"/>
    <cellStyle name="標準 61 6 3" xfId="9820"/>
    <cellStyle name="標準 61 7" xfId="2108"/>
    <cellStyle name="標準 62" xfId="9"/>
    <cellStyle name="標準 62 10" xfId="4213"/>
    <cellStyle name="標準 62 10 2" xfId="6486"/>
    <cellStyle name="標準 62 10 2 2" xfId="11290"/>
    <cellStyle name="標準 62 10 3" xfId="9981"/>
    <cellStyle name="標準 62 11" xfId="4305"/>
    <cellStyle name="標準 62 11 2" xfId="6578"/>
    <cellStyle name="標準 62 11 2 2" xfId="11379"/>
    <cellStyle name="標準 62 11 3" xfId="10070"/>
    <cellStyle name="標準 62 12" xfId="4395"/>
    <cellStyle name="標準 62 12 2" xfId="6668"/>
    <cellStyle name="標準 62 12 2 2" xfId="11468"/>
    <cellStyle name="標準 62 12 3" xfId="10159"/>
    <cellStyle name="標準 62 13" xfId="4491"/>
    <cellStyle name="標準 62 13 2" xfId="10248"/>
    <cellStyle name="標準 62 14" xfId="2114"/>
    <cellStyle name="標準 62 14 2" xfId="11578"/>
    <cellStyle name="標準 62 15" xfId="8939"/>
    <cellStyle name="標準 62 2" xfId="2438"/>
    <cellStyle name="標準 62 2 2" xfId="2969"/>
    <cellStyle name="標準 62 2 2 2" xfId="5242"/>
    <cellStyle name="標準 62 2 2 2 2" xfId="10854"/>
    <cellStyle name="標準 62 2 2 3" xfId="9545"/>
    <cellStyle name="標準 62 2 3" xfId="3540"/>
    <cellStyle name="標準 62 2 3 2" xfId="5813"/>
    <cellStyle name="標準 62 2 3 2 2" xfId="11028"/>
    <cellStyle name="標準 62 2 3 3" xfId="9719"/>
    <cellStyle name="標準 62 2 4" xfId="4104"/>
    <cellStyle name="標準 62 2 4 2" xfId="6377"/>
    <cellStyle name="標準 62 2 4 2 2" xfId="11202"/>
    <cellStyle name="標準 62 2 4 3" xfId="9893"/>
    <cellStyle name="標準 62 2 5" xfId="4718"/>
    <cellStyle name="標準 62 2 5 2" xfId="10337"/>
    <cellStyle name="標準 62 2 6" xfId="9028"/>
    <cellStyle name="標準 62 3" xfId="2517"/>
    <cellStyle name="標準 62 3 2" xfId="4795"/>
    <cellStyle name="標準 62 3 2 2" xfId="10412"/>
    <cellStyle name="標準 62 3 3" xfId="9103"/>
    <cellStyle name="標準 62 4" xfId="2607"/>
    <cellStyle name="標準 62 4 2" xfId="4885"/>
    <cellStyle name="標準 62 4 2 2" xfId="10501"/>
    <cellStyle name="標準 62 4 3" xfId="9192"/>
    <cellStyle name="標準 62 5" xfId="2697"/>
    <cellStyle name="標準 62 5 2" xfId="4975"/>
    <cellStyle name="標準 62 5 2 2" xfId="10590"/>
    <cellStyle name="標準 62 5 3" xfId="9281"/>
    <cellStyle name="標準 62 6" xfId="2792"/>
    <cellStyle name="標準 62 6 2" xfId="5065"/>
    <cellStyle name="標準 62 6 2 2" xfId="10679"/>
    <cellStyle name="標準 62 6 3" xfId="9370"/>
    <cellStyle name="標準 62 7" xfId="2899"/>
    <cellStyle name="標準 62 7 2" xfId="5172"/>
    <cellStyle name="標準 62 7 2 2" xfId="10784"/>
    <cellStyle name="標準 62 7 3" xfId="9475"/>
    <cellStyle name="標準 62 8" xfId="3253"/>
    <cellStyle name="標準 62 8 2" xfId="5526"/>
    <cellStyle name="標準 62 8 2 2" xfId="10958"/>
    <cellStyle name="標準 62 8 3" xfId="9649"/>
    <cellStyle name="標準 62 9" xfId="3994"/>
    <cellStyle name="標準 62 9 2" xfId="6267"/>
    <cellStyle name="標準 62 9 2 2" xfId="11132"/>
    <cellStyle name="標準 62 9 3" xfId="9823"/>
    <cellStyle name="標準 63" xfId="1781"/>
    <cellStyle name="標準 63 2" xfId="2138"/>
    <cellStyle name="標準 63 2 10" xfId="4326"/>
    <cellStyle name="標準 63 2 10 2" xfId="6599"/>
    <cellStyle name="標準 63 2 10 2 2" xfId="11400"/>
    <cellStyle name="標準 63 2 10 3" xfId="10091"/>
    <cellStyle name="標準 63 2 11" xfId="4416"/>
    <cellStyle name="標準 63 2 11 2" xfId="6689"/>
    <cellStyle name="標準 63 2 11 2 2" xfId="11489"/>
    <cellStyle name="標準 63 2 11 3" xfId="10180"/>
    <cellStyle name="標準 63 2 12" xfId="4512"/>
    <cellStyle name="標準 63 2 12 2" xfId="10269"/>
    <cellStyle name="標準 63 2 13" xfId="8960"/>
    <cellStyle name="標準 63 2 2" xfId="2538"/>
    <cellStyle name="標準 63 2 2 2" xfId="4816"/>
    <cellStyle name="標準 63 2 2 2 2" xfId="10433"/>
    <cellStyle name="標準 63 2 2 3" xfId="9124"/>
    <cellStyle name="標準 63 2 3" xfId="2628"/>
    <cellStyle name="標準 63 2 3 2" xfId="4906"/>
    <cellStyle name="標準 63 2 3 2 2" xfId="10522"/>
    <cellStyle name="標準 63 2 3 3" xfId="9213"/>
    <cellStyle name="標準 63 2 4" xfId="2718"/>
    <cellStyle name="標準 63 2 4 2" xfId="4996"/>
    <cellStyle name="標準 63 2 4 2 2" xfId="10611"/>
    <cellStyle name="標準 63 2 4 3" xfId="9302"/>
    <cellStyle name="標準 63 2 5" xfId="2813"/>
    <cellStyle name="標準 63 2 5 2" xfId="5086"/>
    <cellStyle name="標準 63 2 5 2 2" xfId="10700"/>
    <cellStyle name="標準 63 2 5 3" xfId="9391"/>
    <cellStyle name="標準 63 2 6" xfId="2990"/>
    <cellStyle name="標準 63 2 6 2" xfId="5263"/>
    <cellStyle name="標準 63 2 6 2 2" xfId="10875"/>
    <cellStyle name="標準 63 2 6 3" xfId="9566"/>
    <cellStyle name="標準 63 2 7" xfId="3561"/>
    <cellStyle name="標準 63 2 7 2" xfId="5834"/>
    <cellStyle name="標準 63 2 7 2 2" xfId="11049"/>
    <cellStyle name="標準 63 2 7 3" xfId="9740"/>
    <cellStyle name="標準 63 2 8" xfId="4125"/>
    <cellStyle name="標準 63 2 8 2" xfId="6398"/>
    <cellStyle name="標準 63 2 8 2 2" xfId="11223"/>
    <cellStyle name="標準 63 2 8 3" xfId="9914"/>
    <cellStyle name="標準 63 2 9" xfId="4234"/>
    <cellStyle name="標準 63 2 9 2" xfId="6507"/>
    <cellStyle name="標準 63 2 9 2 2" xfId="11311"/>
    <cellStyle name="標準 63 2 9 3" xfId="10002"/>
    <cellStyle name="標準 63 3" xfId="2436"/>
    <cellStyle name="標準 63 4" xfId="2902"/>
    <cellStyle name="標準 63 4 2" xfId="5175"/>
    <cellStyle name="標準 63 4 2 2" xfId="10787"/>
    <cellStyle name="標準 63 4 3" xfId="9478"/>
    <cellStyle name="標準 63 5" xfId="3256"/>
    <cellStyle name="標準 63 5 2" xfId="5529"/>
    <cellStyle name="標準 63 5 2 2" xfId="10961"/>
    <cellStyle name="標準 63 5 3" xfId="9652"/>
    <cellStyle name="標準 63 6" xfId="3997"/>
    <cellStyle name="標準 63 6 2" xfId="6270"/>
    <cellStyle name="標準 63 6 2 2" xfId="11135"/>
    <cellStyle name="標準 63 6 3" xfId="9826"/>
    <cellStyle name="標準 63 7" xfId="2112"/>
    <cellStyle name="標準 64" xfId="1782"/>
    <cellStyle name="標準 64 10" xfId="4214"/>
    <cellStyle name="標準 64 10 2" xfId="6487"/>
    <cellStyle name="標準 64 10 2 2" xfId="11291"/>
    <cellStyle name="標準 64 10 3" xfId="9982"/>
    <cellStyle name="標準 64 11" xfId="4306"/>
    <cellStyle name="標準 64 11 2" xfId="6579"/>
    <cellStyle name="標準 64 11 2 2" xfId="11380"/>
    <cellStyle name="標準 64 11 3" xfId="10071"/>
    <cellStyle name="標準 64 12" xfId="4396"/>
    <cellStyle name="標準 64 12 2" xfId="6669"/>
    <cellStyle name="標準 64 12 2 2" xfId="11469"/>
    <cellStyle name="標準 64 12 3" xfId="10160"/>
    <cellStyle name="標準 64 13" xfId="4492"/>
    <cellStyle name="標準 64 13 2" xfId="10249"/>
    <cellStyle name="標準 64 14" xfId="2115"/>
    <cellStyle name="標準 64 14 2" xfId="11579"/>
    <cellStyle name="標準 64 15" xfId="8940"/>
    <cellStyle name="標準 64 2" xfId="2439"/>
    <cellStyle name="標準 64 2 2" xfId="2970"/>
    <cellStyle name="標準 64 2 2 2" xfId="5243"/>
    <cellStyle name="標準 64 2 2 2 2" xfId="10855"/>
    <cellStyle name="標準 64 2 2 3" xfId="9546"/>
    <cellStyle name="標準 64 2 3" xfId="3541"/>
    <cellStyle name="標準 64 2 3 2" xfId="5814"/>
    <cellStyle name="標準 64 2 3 2 2" xfId="11029"/>
    <cellStyle name="標準 64 2 3 3" xfId="9720"/>
    <cellStyle name="標準 64 2 4" xfId="4105"/>
    <cellStyle name="標準 64 2 4 2" xfId="6378"/>
    <cellStyle name="標準 64 2 4 2 2" xfId="11203"/>
    <cellStyle name="標準 64 2 4 3" xfId="9894"/>
    <cellStyle name="標準 64 2 5" xfId="4719"/>
    <cellStyle name="標準 64 2 5 2" xfId="10338"/>
    <cellStyle name="標準 64 2 6" xfId="9029"/>
    <cellStyle name="標準 64 3" xfId="2518"/>
    <cellStyle name="標準 64 3 2" xfId="4796"/>
    <cellStyle name="標準 64 3 2 2" xfId="10413"/>
    <cellStyle name="標準 64 3 3" xfId="9104"/>
    <cellStyle name="標準 64 4" xfId="2608"/>
    <cellStyle name="標準 64 4 2" xfId="4886"/>
    <cellStyle name="標準 64 4 2 2" xfId="10502"/>
    <cellStyle name="標準 64 4 3" xfId="9193"/>
    <cellStyle name="標準 64 5" xfId="2698"/>
    <cellStyle name="標準 64 5 2" xfId="4976"/>
    <cellStyle name="標準 64 5 2 2" xfId="10591"/>
    <cellStyle name="標準 64 5 3" xfId="9282"/>
    <cellStyle name="標準 64 6" xfId="2793"/>
    <cellStyle name="標準 64 6 2" xfId="5066"/>
    <cellStyle name="標準 64 6 2 2" xfId="10680"/>
    <cellStyle name="標準 64 6 3" xfId="9371"/>
    <cellStyle name="標準 64 7" xfId="2898"/>
    <cellStyle name="標準 64 7 2" xfId="5171"/>
    <cellStyle name="標準 64 7 2 2" xfId="10783"/>
    <cellStyle name="標準 64 7 3" xfId="9474"/>
    <cellStyle name="標準 64 8" xfId="3252"/>
    <cellStyle name="標準 64 8 2" xfId="5525"/>
    <cellStyle name="標準 64 8 2 2" xfId="10957"/>
    <cellStyle name="標準 64 8 3" xfId="9648"/>
    <cellStyle name="標準 64 9" xfId="3993"/>
    <cellStyle name="標準 64 9 2" xfId="6266"/>
    <cellStyle name="標準 64 9 2 2" xfId="11131"/>
    <cellStyle name="標準 64 9 3" xfId="9822"/>
    <cellStyle name="標準 65" xfId="1783"/>
    <cellStyle name="標準 65 2" xfId="2139"/>
    <cellStyle name="標準 65 2 10" xfId="4327"/>
    <cellStyle name="標準 65 2 10 2" xfId="6600"/>
    <cellStyle name="標準 65 2 10 2 2" xfId="11401"/>
    <cellStyle name="標準 65 2 10 3" xfId="10092"/>
    <cellStyle name="標準 65 2 11" xfId="4417"/>
    <cellStyle name="標準 65 2 11 2" xfId="6690"/>
    <cellStyle name="標準 65 2 11 2 2" xfId="11490"/>
    <cellStyle name="標準 65 2 11 3" xfId="10181"/>
    <cellStyle name="標準 65 2 12" xfId="4513"/>
    <cellStyle name="標準 65 2 12 2" xfId="10270"/>
    <cellStyle name="標準 65 2 13" xfId="8961"/>
    <cellStyle name="標準 65 2 2" xfId="2539"/>
    <cellStyle name="標準 65 2 2 2" xfId="4817"/>
    <cellStyle name="標準 65 2 2 2 2" xfId="10434"/>
    <cellStyle name="標準 65 2 2 3" xfId="9125"/>
    <cellStyle name="標準 65 2 3" xfId="2629"/>
    <cellStyle name="標準 65 2 3 2" xfId="4907"/>
    <cellStyle name="標準 65 2 3 2 2" xfId="10523"/>
    <cellStyle name="標準 65 2 3 3" xfId="9214"/>
    <cellStyle name="標準 65 2 4" xfId="2719"/>
    <cellStyle name="標準 65 2 4 2" xfId="4997"/>
    <cellStyle name="標準 65 2 4 2 2" xfId="10612"/>
    <cellStyle name="標準 65 2 4 3" xfId="9303"/>
    <cellStyle name="標準 65 2 5" xfId="2814"/>
    <cellStyle name="標準 65 2 5 2" xfId="5087"/>
    <cellStyle name="標準 65 2 5 2 2" xfId="10701"/>
    <cellStyle name="標準 65 2 5 3" xfId="9392"/>
    <cellStyle name="標準 65 2 6" xfId="2991"/>
    <cellStyle name="標準 65 2 6 2" xfId="5264"/>
    <cellStyle name="標準 65 2 6 2 2" xfId="10876"/>
    <cellStyle name="標準 65 2 6 3" xfId="9567"/>
    <cellStyle name="標準 65 2 7" xfId="3562"/>
    <cellStyle name="標準 65 2 7 2" xfId="5835"/>
    <cellStyle name="標準 65 2 7 2 2" xfId="11050"/>
    <cellStyle name="標準 65 2 7 3" xfId="9741"/>
    <cellStyle name="標準 65 2 8" xfId="4126"/>
    <cellStyle name="標準 65 2 8 2" xfId="6399"/>
    <cellStyle name="標準 65 2 8 2 2" xfId="11224"/>
    <cellStyle name="標準 65 2 8 3" xfId="9915"/>
    <cellStyle name="標準 65 2 9" xfId="4235"/>
    <cellStyle name="標準 65 2 9 2" xfId="6508"/>
    <cellStyle name="標準 65 2 9 2 2" xfId="11312"/>
    <cellStyle name="標準 65 2 9 3" xfId="10003"/>
    <cellStyle name="標準 65 3" xfId="2435"/>
    <cellStyle name="標準 65 4" xfId="2903"/>
    <cellStyle name="標準 65 4 2" xfId="5176"/>
    <cellStyle name="標準 65 4 2 2" xfId="10788"/>
    <cellStyle name="標準 65 4 3" xfId="9479"/>
    <cellStyle name="標準 65 5" xfId="3257"/>
    <cellStyle name="標準 65 5 2" xfId="5530"/>
    <cellStyle name="標準 65 5 2 2" xfId="10962"/>
    <cellStyle name="標準 65 5 3" xfId="9653"/>
    <cellStyle name="標準 65 6" xfId="3998"/>
    <cellStyle name="標準 65 6 2" xfId="6271"/>
    <cellStyle name="標準 65 6 2 2" xfId="11136"/>
    <cellStyle name="標準 65 6 3" xfId="9827"/>
    <cellStyle name="標準 65 7" xfId="2111"/>
    <cellStyle name="標準 66" xfId="1784"/>
    <cellStyle name="標準 66 10" xfId="4236"/>
    <cellStyle name="標準 66 10 2" xfId="6509"/>
    <cellStyle name="標準 66 10 2 2" xfId="11313"/>
    <cellStyle name="標準 66 10 3" xfId="10004"/>
    <cellStyle name="標準 66 11" xfId="4328"/>
    <cellStyle name="標準 66 11 2" xfId="6601"/>
    <cellStyle name="標準 66 11 2 2" xfId="11402"/>
    <cellStyle name="標準 66 11 3" xfId="10093"/>
    <cellStyle name="標準 66 12" xfId="4418"/>
    <cellStyle name="標準 66 12 2" xfId="6691"/>
    <cellStyle name="標準 66 12 2 2" xfId="11491"/>
    <cellStyle name="標準 66 12 3" xfId="10182"/>
    <cellStyle name="標準 66 13" xfId="4514"/>
    <cellStyle name="標準 66 13 2" xfId="10271"/>
    <cellStyle name="標準 66 14" xfId="2140"/>
    <cellStyle name="標準 66 14 2" xfId="11586"/>
    <cellStyle name="標準 66 15" xfId="8962"/>
    <cellStyle name="標準 66 2" xfId="2446"/>
    <cellStyle name="標準 66 2 2" xfId="2992"/>
    <cellStyle name="標準 66 2 2 2" xfId="5265"/>
    <cellStyle name="標準 66 2 2 2 2" xfId="10877"/>
    <cellStyle name="標準 66 2 2 3" xfId="9568"/>
    <cellStyle name="標準 66 2 3" xfId="3563"/>
    <cellStyle name="標準 66 2 3 2" xfId="5836"/>
    <cellStyle name="標準 66 2 3 2 2" xfId="11051"/>
    <cellStyle name="標準 66 2 3 3" xfId="9742"/>
    <cellStyle name="標準 66 2 4" xfId="4127"/>
    <cellStyle name="標準 66 2 4 2" xfId="6400"/>
    <cellStyle name="標準 66 2 4 2 2" xfId="11225"/>
    <cellStyle name="標準 66 2 4 3" xfId="9916"/>
    <cellStyle name="標準 66 2 5" xfId="4726"/>
    <cellStyle name="標準 66 2 5 2" xfId="10345"/>
    <cellStyle name="標準 66 2 6" xfId="9036"/>
    <cellStyle name="標準 66 3" xfId="2540"/>
    <cellStyle name="標準 66 3 2" xfId="4818"/>
    <cellStyle name="標準 66 3 2 2" xfId="10435"/>
    <cellStyle name="標準 66 3 3" xfId="9126"/>
    <cellStyle name="標準 66 4" xfId="2630"/>
    <cellStyle name="標準 66 4 2" xfId="4908"/>
    <cellStyle name="標準 66 4 2 2" xfId="10524"/>
    <cellStyle name="標準 66 4 3" xfId="9215"/>
    <cellStyle name="標準 66 5" xfId="2720"/>
    <cellStyle name="標準 66 5 2" xfId="4998"/>
    <cellStyle name="標準 66 5 2 2" xfId="10613"/>
    <cellStyle name="標準 66 5 3" xfId="9304"/>
    <cellStyle name="標準 66 6" xfId="2815"/>
    <cellStyle name="標準 66 6 2" xfId="5088"/>
    <cellStyle name="標準 66 6 2 2" xfId="10702"/>
    <cellStyle name="標準 66 6 3" xfId="9393"/>
    <cellStyle name="標準 66 7" xfId="2904"/>
    <cellStyle name="標準 66 7 2" xfId="5177"/>
    <cellStyle name="標準 66 7 2 2" xfId="10789"/>
    <cellStyle name="標準 66 7 3" xfId="9480"/>
    <cellStyle name="標準 66 8" xfId="3258"/>
    <cellStyle name="標準 66 8 2" xfId="5531"/>
    <cellStyle name="標準 66 8 2 2" xfId="10963"/>
    <cellStyle name="標準 66 8 3" xfId="9654"/>
    <cellStyle name="標準 66 9" xfId="3999"/>
    <cellStyle name="標準 66 9 2" xfId="6272"/>
    <cellStyle name="標準 66 9 2 2" xfId="11137"/>
    <cellStyle name="標準 66 9 3" xfId="9828"/>
    <cellStyle name="標準 67" xfId="1785"/>
    <cellStyle name="標準 67 10" xfId="4244"/>
    <cellStyle name="標準 67 10 2" xfId="6517"/>
    <cellStyle name="標準 67 10 2 2" xfId="11321"/>
    <cellStyle name="標準 67 10 3" xfId="10012"/>
    <cellStyle name="標準 67 11" xfId="4336"/>
    <cellStyle name="標準 67 11 2" xfId="6609"/>
    <cellStyle name="標準 67 11 2 2" xfId="11410"/>
    <cellStyle name="標準 67 11 3" xfId="10101"/>
    <cellStyle name="標準 67 12" xfId="4426"/>
    <cellStyle name="標準 67 12 2" xfId="6699"/>
    <cellStyle name="標準 67 12 2 2" xfId="11499"/>
    <cellStyle name="標準 67 12 3" xfId="10190"/>
    <cellStyle name="標準 67 13" xfId="4522"/>
    <cellStyle name="標準 67 13 2" xfId="10279"/>
    <cellStyle name="標準 67 14" xfId="2148"/>
    <cellStyle name="標準 67 14 2" xfId="11594"/>
    <cellStyle name="標準 67 15" xfId="8970"/>
    <cellStyle name="標準 67 2" xfId="2454"/>
    <cellStyle name="標準 67 2 2" xfId="3000"/>
    <cellStyle name="標準 67 2 2 2" xfId="5273"/>
    <cellStyle name="標準 67 2 2 2 2" xfId="10885"/>
    <cellStyle name="標準 67 2 2 3" xfId="9576"/>
    <cellStyle name="標準 67 2 3" xfId="3571"/>
    <cellStyle name="標準 67 2 3 2" xfId="5844"/>
    <cellStyle name="標準 67 2 3 2 2" xfId="11059"/>
    <cellStyle name="標準 67 2 3 3" xfId="9750"/>
    <cellStyle name="標準 67 2 4" xfId="4135"/>
    <cellStyle name="標準 67 2 4 2" xfId="6408"/>
    <cellStyle name="標準 67 2 4 2 2" xfId="11233"/>
    <cellStyle name="標準 67 2 4 3" xfId="9924"/>
    <cellStyle name="標準 67 2 5" xfId="4734"/>
    <cellStyle name="標準 67 2 5 2" xfId="10353"/>
    <cellStyle name="標準 67 2 6" xfId="9044"/>
    <cellStyle name="標準 67 3" xfId="2548"/>
    <cellStyle name="標準 67 3 2" xfId="4826"/>
    <cellStyle name="標準 67 3 2 2" xfId="10443"/>
    <cellStyle name="標準 67 3 3" xfId="9134"/>
    <cellStyle name="標準 67 4" xfId="2638"/>
    <cellStyle name="標準 67 4 2" xfId="4916"/>
    <cellStyle name="標準 67 4 2 2" xfId="10532"/>
    <cellStyle name="標準 67 4 3" xfId="9223"/>
    <cellStyle name="標準 67 5" xfId="2728"/>
    <cellStyle name="標準 67 5 2" xfId="5006"/>
    <cellStyle name="標準 67 5 2 2" xfId="10621"/>
    <cellStyle name="標準 67 5 3" xfId="9312"/>
    <cellStyle name="標準 67 6" xfId="2823"/>
    <cellStyle name="標準 67 6 2" xfId="5096"/>
    <cellStyle name="標準 67 6 2 2" xfId="10710"/>
    <cellStyle name="標準 67 6 3" xfId="9401"/>
    <cellStyle name="標準 67 7" xfId="2912"/>
    <cellStyle name="標準 67 7 2" xfId="5185"/>
    <cellStyle name="標準 67 7 2 2" xfId="10797"/>
    <cellStyle name="標準 67 7 3" xfId="9488"/>
    <cellStyle name="標準 67 8" xfId="3270"/>
    <cellStyle name="標準 67 8 2" xfId="5543"/>
    <cellStyle name="標準 67 8 2 2" xfId="10971"/>
    <cellStyle name="標準 67 8 3" xfId="9662"/>
    <cellStyle name="標準 67 9" xfId="4029"/>
    <cellStyle name="標準 67 9 2" xfId="6302"/>
    <cellStyle name="標準 67 9 2 2" xfId="11145"/>
    <cellStyle name="標準 67 9 3" xfId="9836"/>
    <cellStyle name="標準 68" xfId="1786"/>
    <cellStyle name="標準 68 10" xfId="4238"/>
    <cellStyle name="標準 68 10 2" xfId="6511"/>
    <cellStyle name="標準 68 10 2 2" xfId="11315"/>
    <cellStyle name="標準 68 10 3" xfId="10006"/>
    <cellStyle name="標準 68 11" xfId="4330"/>
    <cellStyle name="標準 68 11 2" xfId="6603"/>
    <cellStyle name="標準 68 11 2 2" xfId="11404"/>
    <cellStyle name="標準 68 11 3" xfId="10095"/>
    <cellStyle name="標準 68 12" xfId="4420"/>
    <cellStyle name="標準 68 12 2" xfId="6693"/>
    <cellStyle name="標準 68 12 2 2" xfId="11493"/>
    <cellStyle name="標準 68 12 3" xfId="10184"/>
    <cellStyle name="標準 68 13" xfId="4516"/>
    <cellStyle name="標準 68 13 2" xfId="10273"/>
    <cellStyle name="標準 68 14" xfId="2142"/>
    <cellStyle name="標準 68 14 2" xfId="11588"/>
    <cellStyle name="標準 68 15" xfId="8964"/>
    <cellStyle name="標準 68 2" xfId="2448"/>
    <cellStyle name="標準 68 2 2" xfId="2994"/>
    <cellStyle name="標準 68 2 2 2" xfId="5267"/>
    <cellStyle name="標準 68 2 2 2 2" xfId="10879"/>
    <cellStyle name="標準 68 2 2 3" xfId="9570"/>
    <cellStyle name="標準 68 2 3" xfId="3565"/>
    <cellStyle name="標準 68 2 3 2" xfId="5838"/>
    <cellStyle name="標準 68 2 3 2 2" xfId="11053"/>
    <cellStyle name="標準 68 2 3 3" xfId="9744"/>
    <cellStyle name="標準 68 2 4" xfId="4129"/>
    <cellStyle name="標準 68 2 4 2" xfId="6402"/>
    <cellStyle name="標準 68 2 4 2 2" xfId="11227"/>
    <cellStyle name="標準 68 2 4 3" xfId="9918"/>
    <cellStyle name="標準 68 2 5" xfId="4728"/>
    <cellStyle name="標準 68 2 5 2" xfId="10347"/>
    <cellStyle name="標準 68 2 6" xfId="9038"/>
    <cellStyle name="標準 68 3" xfId="2542"/>
    <cellStyle name="標準 68 3 2" xfId="4820"/>
    <cellStyle name="標準 68 3 2 2" xfId="10437"/>
    <cellStyle name="標準 68 3 3" xfId="9128"/>
    <cellStyle name="標準 68 4" xfId="2632"/>
    <cellStyle name="標準 68 4 2" xfId="4910"/>
    <cellStyle name="標準 68 4 2 2" xfId="10526"/>
    <cellStyle name="標準 68 4 3" xfId="9217"/>
    <cellStyle name="標準 68 5" xfId="2722"/>
    <cellStyle name="標準 68 5 2" xfId="5000"/>
    <cellStyle name="標準 68 5 2 2" xfId="10615"/>
    <cellStyle name="標準 68 5 3" xfId="9306"/>
    <cellStyle name="標準 68 6" xfId="2817"/>
    <cellStyle name="標準 68 6 2" xfId="5090"/>
    <cellStyle name="標準 68 6 2 2" xfId="10704"/>
    <cellStyle name="標準 68 6 3" xfId="9395"/>
    <cellStyle name="標準 68 7" xfId="2906"/>
    <cellStyle name="標準 68 7 2" xfId="5179"/>
    <cellStyle name="標準 68 7 2 2" xfId="10791"/>
    <cellStyle name="標準 68 7 3" xfId="9482"/>
    <cellStyle name="標準 68 8" xfId="3260"/>
    <cellStyle name="標準 68 8 2" xfId="5533"/>
    <cellStyle name="標準 68 8 2 2" xfId="10965"/>
    <cellStyle name="標準 68 8 3" xfId="9656"/>
    <cellStyle name="標準 68 9" xfId="4001"/>
    <cellStyle name="標準 68 9 2" xfId="6274"/>
    <cellStyle name="標準 68 9 2 2" xfId="11139"/>
    <cellStyle name="標準 68 9 3" xfId="9830"/>
    <cellStyle name="標準 69" xfId="1787"/>
    <cellStyle name="標準 69 10" xfId="4243"/>
    <cellStyle name="標準 69 10 2" xfId="6516"/>
    <cellStyle name="標準 69 10 2 2" xfId="11320"/>
    <cellStyle name="標準 69 10 3" xfId="10011"/>
    <cellStyle name="標準 69 11" xfId="4335"/>
    <cellStyle name="標準 69 11 2" xfId="6608"/>
    <cellStyle name="標準 69 11 2 2" xfId="11409"/>
    <cellStyle name="標準 69 11 3" xfId="10100"/>
    <cellStyle name="標準 69 12" xfId="4425"/>
    <cellStyle name="標準 69 12 2" xfId="6698"/>
    <cellStyle name="標準 69 12 2 2" xfId="11498"/>
    <cellStyle name="標準 69 12 3" xfId="10189"/>
    <cellStyle name="標準 69 13" xfId="4521"/>
    <cellStyle name="標準 69 13 2" xfId="10278"/>
    <cellStyle name="標準 69 14" xfId="2147"/>
    <cellStyle name="標準 69 14 2" xfId="11593"/>
    <cellStyle name="標準 69 15" xfId="8969"/>
    <cellStyle name="標準 69 2" xfId="2453"/>
    <cellStyle name="標準 69 2 2" xfId="2999"/>
    <cellStyle name="標準 69 2 2 2" xfId="5272"/>
    <cellStyle name="標準 69 2 2 2 2" xfId="10884"/>
    <cellStyle name="標準 69 2 2 3" xfId="9575"/>
    <cellStyle name="標準 69 2 3" xfId="3570"/>
    <cellStyle name="標準 69 2 3 2" xfId="5843"/>
    <cellStyle name="標準 69 2 3 2 2" xfId="11058"/>
    <cellStyle name="標準 69 2 3 3" xfId="9749"/>
    <cellStyle name="標準 69 2 4" xfId="4134"/>
    <cellStyle name="標準 69 2 4 2" xfId="6407"/>
    <cellStyle name="標準 69 2 4 2 2" xfId="11232"/>
    <cellStyle name="標準 69 2 4 3" xfId="9923"/>
    <cellStyle name="標準 69 2 5" xfId="4733"/>
    <cellStyle name="標準 69 2 5 2" xfId="10352"/>
    <cellStyle name="標準 69 2 6" xfId="9043"/>
    <cellStyle name="標準 69 3" xfId="2547"/>
    <cellStyle name="標準 69 3 2" xfId="4825"/>
    <cellStyle name="標準 69 3 2 2" xfId="10442"/>
    <cellStyle name="標準 69 3 3" xfId="9133"/>
    <cellStyle name="標準 69 4" xfId="2637"/>
    <cellStyle name="標準 69 4 2" xfId="4915"/>
    <cellStyle name="標準 69 4 2 2" xfId="10531"/>
    <cellStyle name="標準 69 4 3" xfId="9222"/>
    <cellStyle name="標準 69 5" xfId="2727"/>
    <cellStyle name="標準 69 5 2" xfId="5005"/>
    <cellStyle name="標準 69 5 2 2" xfId="10620"/>
    <cellStyle name="標準 69 5 3" xfId="9311"/>
    <cellStyle name="標準 69 6" xfId="2822"/>
    <cellStyle name="標準 69 6 2" xfId="5095"/>
    <cellStyle name="標準 69 6 2 2" xfId="10709"/>
    <cellStyle name="標準 69 6 3" xfId="9400"/>
    <cellStyle name="標準 69 7" xfId="2911"/>
    <cellStyle name="標準 69 7 2" xfId="5184"/>
    <cellStyle name="標準 69 7 2 2" xfId="10796"/>
    <cellStyle name="標準 69 7 3" xfId="9487"/>
    <cellStyle name="標準 69 8" xfId="3269"/>
    <cellStyle name="標準 69 8 2" xfId="5542"/>
    <cellStyle name="標準 69 8 2 2" xfId="10970"/>
    <cellStyle name="標準 69 8 3" xfId="9661"/>
    <cellStyle name="標準 69 9" xfId="4028"/>
    <cellStyle name="標準 69 9 2" xfId="6301"/>
    <cellStyle name="標準 69 9 2 2" xfId="11144"/>
    <cellStyle name="標準 69 9 3" xfId="9835"/>
    <cellStyle name="標準 7" xfId="1788"/>
    <cellStyle name="標準 7 2" xfId="1789"/>
    <cellStyle name="標準 7 2 2" xfId="1790"/>
    <cellStyle name="標準 7 3" xfId="1791"/>
    <cellStyle name="標準 7 3 2" xfId="1792"/>
    <cellStyle name="標準 7 4" xfId="1793"/>
    <cellStyle name="標準 7 4 2" xfId="1794"/>
    <cellStyle name="標準 7 5" xfId="1795"/>
    <cellStyle name="標準 7 6" xfId="1796"/>
    <cellStyle name="標準 7 7" xfId="1797"/>
    <cellStyle name="標準 7 7 2" xfId="1798"/>
    <cellStyle name="標準 7 8" xfId="1799"/>
    <cellStyle name="標準 7_受渡ファイル一覧（調査用）" xfId="1800"/>
    <cellStyle name="標準 70" xfId="1801"/>
    <cellStyle name="標準 70 10" xfId="4239"/>
    <cellStyle name="標準 70 10 2" xfId="6512"/>
    <cellStyle name="標準 70 10 2 2" xfId="11316"/>
    <cellStyle name="標準 70 10 3" xfId="10007"/>
    <cellStyle name="標準 70 11" xfId="4331"/>
    <cellStyle name="標準 70 11 2" xfId="6604"/>
    <cellStyle name="標準 70 11 2 2" xfId="11405"/>
    <cellStyle name="標準 70 11 3" xfId="10096"/>
    <cellStyle name="標準 70 12" xfId="4421"/>
    <cellStyle name="標準 70 12 2" xfId="6694"/>
    <cellStyle name="標準 70 12 2 2" xfId="11494"/>
    <cellStyle name="標準 70 12 3" xfId="10185"/>
    <cellStyle name="標準 70 13" xfId="4517"/>
    <cellStyle name="標準 70 13 2" xfId="10274"/>
    <cellStyle name="標準 70 14" xfId="2143"/>
    <cellStyle name="標準 70 14 2" xfId="11589"/>
    <cellStyle name="標準 70 15" xfId="8965"/>
    <cellStyle name="標準 70 2" xfId="2449"/>
    <cellStyle name="標準 70 2 2" xfId="2995"/>
    <cellStyle name="標準 70 2 2 2" xfId="5268"/>
    <cellStyle name="標準 70 2 2 2 2" xfId="10880"/>
    <cellStyle name="標準 70 2 2 3" xfId="9571"/>
    <cellStyle name="標準 70 2 3" xfId="3566"/>
    <cellStyle name="標準 70 2 3 2" xfId="5839"/>
    <cellStyle name="標準 70 2 3 2 2" xfId="11054"/>
    <cellStyle name="標準 70 2 3 3" xfId="9745"/>
    <cellStyle name="標準 70 2 4" xfId="4130"/>
    <cellStyle name="標準 70 2 4 2" xfId="6403"/>
    <cellStyle name="標準 70 2 4 2 2" xfId="11228"/>
    <cellStyle name="標準 70 2 4 3" xfId="9919"/>
    <cellStyle name="標準 70 2 5" xfId="4729"/>
    <cellStyle name="標準 70 2 5 2" xfId="10348"/>
    <cellStyle name="標準 70 2 6" xfId="9039"/>
    <cellStyle name="標準 70 3" xfId="2543"/>
    <cellStyle name="標準 70 3 2" xfId="4821"/>
    <cellStyle name="標準 70 3 2 2" xfId="10438"/>
    <cellStyle name="標準 70 3 3" xfId="9129"/>
    <cellStyle name="標準 70 4" xfId="2633"/>
    <cellStyle name="標準 70 4 2" xfId="4911"/>
    <cellStyle name="標準 70 4 2 2" xfId="10527"/>
    <cellStyle name="標準 70 4 3" xfId="9218"/>
    <cellStyle name="標準 70 5" xfId="2723"/>
    <cellStyle name="標準 70 5 2" xfId="5001"/>
    <cellStyle name="標準 70 5 2 2" xfId="10616"/>
    <cellStyle name="標準 70 5 3" xfId="9307"/>
    <cellStyle name="標準 70 6" xfId="2818"/>
    <cellStyle name="標準 70 6 2" xfId="5091"/>
    <cellStyle name="標準 70 6 2 2" xfId="10705"/>
    <cellStyle name="標準 70 6 3" xfId="9396"/>
    <cellStyle name="標準 70 7" xfId="2907"/>
    <cellStyle name="標準 70 7 2" xfId="5180"/>
    <cellStyle name="標準 70 7 2 2" xfId="10792"/>
    <cellStyle name="標準 70 7 3" xfId="9483"/>
    <cellStyle name="標準 70 8" xfId="3261"/>
    <cellStyle name="標準 70 8 2" xfId="5534"/>
    <cellStyle name="標準 70 8 2 2" xfId="10966"/>
    <cellStyle name="標準 70 8 3" xfId="9657"/>
    <cellStyle name="標準 70 9" xfId="4002"/>
    <cellStyle name="標準 70 9 2" xfId="6275"/>
    <cellStyle name="標準 70 9 2 2" xfId="11140"/>
    <cellStyle name="標準 70 9 3" xfId="9831"/>
    <cellStyle name="標準 71" xfId="1802"/>
    <cellStyle name="標準 71 10" xfId="4242"/>
    <cellStyle name="標準 71 10 2" xfId="6515"/>
    <cellStyle name="標準 71 10 2 2" xfId="11319"/>
    <cellStyle name="標準 71 10 3" xfId="10010"/>
    <cellStyle name="標準 71 11" xfId="4334"/>
    <cellStyle name="標準 71 11 2" xfId="6607"/>
    <cellStyle name="標準 71 11 2 2" xfId="11408"/>
    <cellStyle name="標準 71 11 3" xfId="10099"/>
    <cellStyle name="標準 71 12" xfId="4424"/>
    <cellStyle name="標準 71 12 2" xfId="6697"/>
    <cellStyle name="標準 71 12 2 2" xfId="11497"/>
    <cellStyle name="標準 71 12 3" xfId="10188"/>
    <cellStyle name="標準 71 13" xfId="4520"/>
    <cellStyle name="標準 71 13 2" xfId="10277"/>
    <cellStyle name="標準 71 14" xfId="2146"/>
    <cellStyle name="標準 71 14 2" xfId="11592"/>
    <cellStyle name="標準 71 15" xfId="8968"/>
    <cellStyle name="標準 71 2" xfId="2452"/>
    <cellStyle name="標準 71 2 2" xfId="2998"/>
    <cellStyle name="標準 71 2 2 2" xfId="5271"/>
    <cellStyle name="標準 71 2 2 2 2" xfId="10883"/>
    <cellStyle name="標準 71 2 2 3" xfId="9574"/>
    <cellStyle name="標準 71 2 3" xfId="3569"/>
    <cellStyle name="標準 71 2 3 2" xfId="5842"/>
    <cellStyle name="標準 71 2 3 2 2" xfId="11057"/>
    <cellStyle name="標準 71 2 3 3" xfId="9748"/>
    <cellStyle name="標準 71 2 4" xfId="4133"/>
    <cellStyle name="標準 71 2 4 2" xfId="6406"/>
    <cellStyle name="標準 71 2 4 2 2" xfId="11231"/>
    <cellStyle name="標準 71 2 4 3" xfId="9922"/>
    <cellStyle name="標準 71 2 5" xfId="4732"/>
    <cellStyle name="標準 71 2 5 2" xfId="10351"/>
    <cellStyle name="標準 71 2 6" xfId="9042"/>
    <cellStyle name="標準 71 3" xfId="2546"/>
    <cellStyle name="標準 71 3 2" xfId="4824"/>
    <cellStyle name="標準 71 3 2 2" xfId="10441"/>
    <cellStyle name="標準 71 3 3" xfId="9132"/>
    <cellStyle name="標準 71 4" xfId="2636"/>
    <cellStyle name="標準 71 4 2" xfId="4914"/>
    <cellStyle name="標準 71 4 2 2" xfId="10530"/>
    <cellStyle name="標準 71 4 3" xfId="9221"/>
    <cellStyle name="標準 71 5" xfId="2726"/>
    <cellStyle name="標準 71 5 2" xfId="5004"/>
    <cellStyle name="標準 71 5 2 2" xfId="10619"/>
    <cellStyle name="標準 71 5 3" xfId="9310"/>
    <cellStyle name="標準 71 6" xfId="2821"/>
    <cellStyle name="標準 71 6 2" xfId="5094"/>
    <cellStyle name="標準 71 6 2 2" xfId="10708"/>
    <cellStyle name="標準 71 6 3" xfId="9399"/>
    <cellStyle name="標準 71 7" xfId="2910"/>
    <cellStyle name="標準 71 7 2" xfId="5183"/>
    <cellStyle name="標準 71 7 2 2" xfId="10795"/>
    <cellStyle name="標準 71 7 3" xfId="9486"/>
    <cellStyle name="標準 71 8" xfId="3268"/>
    <cellStyle name="標準 71 8 2" xfId="5541"/>
    <cellStyle name="標準 71 8 2 2" xfId="10969"/>
    <cellStyle name="標準 71 8 3" xfId="9660"/>
    <cellStyle name="標準 71 9" xfId="4027"/>
    <cellStyle name="標準 71 9 2" xfId="6300"/>
    <cellStyle name="標準 71 9 2 2" xfId="11143"/>
    <cellStyle name="標準 71 9 3" xfId="9834"/>
    <cellStyle name="標準 72" xfId="1803"/>
    <cellStyle name="標準 72 10" xfId="4248"/>
    <cellStyle name="標準 72 10 2" xfId="6521"/>
    <cellStyle name="標準 72 10 2 2" xfId="11325"/>
    <cellStyle name="標準 72 10 3" xfId="10016"/>
    <cellStyle name="標準 72 11" xfId="4340"/>
    <cellStyle name="標準 72 11 2" xfId="6613"/>
    <cellStyle name="標準 72 11 2 2" xfId="11414"/>
    <cellStyle name="標準 72 11 3" xfId="10105"/>
    <cellStyle name="標準 72 12" xfId="4430"/>
    <cellStyle name="標準 72 12 2" xfId="6703"/>
    <cellStyle name="標準 72 12 2 2" xfId="11503"/>
    <cellStyle name="標準 72 12 3" xfId="10194"/>
    <cellStyle name="標準 72 13" xfId="4526"/>
    <cellStyle name="標準 72 13 2" xfId="10283"/>
    <cellStyle name="標準 72 14" xfId="2152"/>
    <cellStyle name="標準 72 14 2" xfId="11598"/>
    <cellStyle name="標準 72 15" xfId="8974"/>
    <cellStyle name="標準 72 2" xfId="2458"/>
    <cellStyle name="標準 72 2 2" xfId="3004"/>
    <cellStyle name="標準 72 2 2 2" xfId="5277"/>
    <cellStyle name="標準 72 2 2 2 2" xfId="10889"/>
    <cellStyle name="標準 72 2 2 3" xfId="9580"/>
    <cellStyle name="標準 72 2 3" xfId="3575"/>
    <cellStyle name="標準 72 2 3 2" xfId="5848"/>
    <cellStyle name="標準 72 2 3 2 2" xfId="11063"/>
    <cellStyle name="標準 72 2 3 3" xfId="9754"/>
    <cellStyle name="標準 72 2 4" xfId="4139"/>
    <cellStyle name="標準 72 2 4 2" xfId="6412"/>
    <cellStyle name="標準 72 2 4 2 2" xfId="11237"/>
    <cellStyle name="標準 72 2 4 3" xfId="9928"/>
    <cellStyle name="標準 72 2 5" xfId="4738"/>
    <cellStyle name="標準 72 2 5 2" xfId="10357"/>
    <cellStyle name="標準 72 2 6" xfId="9048"/>
    <cellStyle name="標準 72 3" xfId="2552"/>
    <cellStyle name="標準 72 3 2" xfId="4830"/>
    <cellStyle name="標準 72 3 2 2" xfId="10447"/>
    <cellStyle name="標準 72 3 3" xfId="9138"/>
    <cellStyle name="標準 72 4" xfId="2642"/>
    <cellStyle name="標準 72 4 2" xfId="4920"/>
    <cellStyle name="標準 72 4 2 2" xfId="10536"/>
    <cellStyle name="標準 72 4 3" xfId="9227"/>
    <cellStyle name="標準 72 5" xfId="2737"/>
    <cellStyle name="標準 72 5 2" xfId="5010"/>
    <cellStyle name="標準 72 5 2 2" xfId="10625"/>
    <cellStyle name="標準 72 5 3" xfId="9316"/>
    <cellStyle name="標準 72 6" xfId="2827"/>
    <cellStyle name="標準 72 6 2" xfId="5100"/>
    <cellStyle name="標準 72 6 2 2" xfId="10714"/>
    <cellStyle name="標準 72 6 3" xfId="9405"/>
    <cellStyle name="標準 72 7" xfId="2916"/>
    <cellStyle name="標準 72 7 2" xfId="5189"/>
    <cellStyle name="標準 72 7 2 2" xfId="10801"/>
    <cellStyle name="標準 72 7 3" xfId="9492"/>
    <cellStyle name="標準 72 8" xfId="3345"/>
    <cellStyle name="標準 72 8 2" xfId="5618"/>
    <cellStyle name="標準 72 8 2 2" xfId="10975"/>
    <cellStyle name="標準 72 8 3" xfId="9666"/>
    <cellStyle name="標準 72 9" xfId="4046"/>
    <cellStyle name="標準 72 9 2" xfId="6319"/>
    <cellStyle name="標準 72 9 2 2" xfId="11149"/>
    <cellStyle name="標準 72 9 3" xfId="9840"/>
    <cellStyle name="標準 73" xfId="1804"/>
    <cellStyle name="標準 73 10" xfId="4241"/>
    <cellStyle name="標準 73 10 2" xfId="6514"/>
    <cellStyle name="標準 73 10 2 2" xfId="11318"/>
    <cellStyle name="標準 73 10 3" xfId="10009"/>
    <cellStyle name="標準 73 11" xfId="4333"/>
    <cellStyle name="標準 73 11 2" xfId="6606"/>
    <cellStyle name="標準 73 11 2 2" xfId="11407"/>
    <cellStyle name="標準 73 11 3" xfId="10098"/>
    <cellStyle name="標準 73 12" xfId="4423"/>
    <cellStyle name="標準 73 12 2" xfId="6696"/>
    <cellStyle name="標準 73 12 2 2" xfId="11496"/>
    <cellStyle name="標準 73 12 3" xfId="10187"/>
    <cellStyle name="標準 73 13" xfId="4519"/>
    <cellStyle name="標準 73 13 2" xfId="10276"/>
    <cellStyle name="標準 73 14" xfId="2145"/>
    <cellStyle name="標準 73 14 2" xfId="11591"/>
    <cellStyle name="標準 73 15" xfId="8967"/>
    <cellStyle name="標準 73 2" xfId="2451"/>
    <cellStyle name="標準 73 2 2" xfId="2997"/>
    <cellStyle name="標準 73 2 2 2" xfId="5270"/>
    <cellStyle name="標準 73 2 2 2 2" xfId="10882"/>
    <cellStyle name="標準 73 2 2 3" xfId="9573"/>
    <cellStyle name="標準 73 2 3" xfId="3568"/>
    <cellStyle name="標準 73 2 3 2" xfId="5841"/>
    <cellStyle name="標準 73 2 3 2 2" xfId="11056"/>
    <cellStyle name="標準 73 2 3 3" xfId="9747"/>
    <cellStyle name="標準 73 2 4" xfId="4132"/>
    <cellStyle name="標準 73 2 4 2" xfId="6405"/>
    <cellStyle name="標準 73 2 4 2 2" xfId="11230"/>
    <cellStyle name="標準 73 2 4 3" xfId="9921"/>
    <cellStyle name="標準 73 2 5" xfId="4731"/>
    <cellStyle name="標準 73 2 5 2" xfId="10350"/>
    <cellStyle name="標準 73 2 6" xfId="9041"/>
    <cellStyle name="標準 73 3" xfId="2545"/>
    <cellStyle name="標準 73 3 2" xfId="4823"/>
    <cellStyle name="標準 73 3 2 2" xfId="10440"/>
    <cellStyle name="標準 73 3 3" xfId="9131"/>
    <cellStyle name="標準 73 4" xfId="2635"/>
    <cellStyle name="標準 73 4 2" xfId="4913"/>
    <cellStyle name="標準 73 4 2 2" xfId="10529"/>
    <cellStyle name="標準 73 4 3" xfId="9220"/>
    <cellStyle name="標準 73 5" xfId="2725"/>
    <cellStyle name="標準 73 5 2" xfId="5003"/>
    <cellStyle name="標準 73 5 2 2" xfId="10618"/>
    <cellStyle name="標準 73 5 3" xfId="9309"/>
    <cellStyle name="標準 73 6" xfId="2820"/>
    <cellStyle name="標準 73 6 2" xfId="5093"/>
    <cellStyle name="標準 73 6 2 2" xfId="10707"/>
    <cellStyle name="標準 73 6 3" xfId="9398"/>
    <cellStyle name="標準 73 7" xfId="2909"/>
    <cellStyle name="標準 73 7 2" xfId="5182"/>
    <cellStyle name="標準 73 7 2 2" xfId="10794"/>
    <cellStyle name="標準 73 7 3" xfId="9485"/>
    <cellStyle name="標準 73 8" xfId="3267"/>
    <cellStyle name="標準 73 8 2" xfId="5540"/>
    <cellStyle name="標準 73 8 2 2" xfId="10968"/>
    <cellStyle name="標準 73 8 3" xfId="9659"/>
    <cellStyle name="標準 73 9" xfId="4026"/>
    <cellStyle name="標準 73 9 2" xfId="6299"/>
    <cellStyle name="標準 73 9 2 2" xfId="11142"/>
    <cellStyle name="標準 73 9 3" xfId="9833"/>
    <cellStyle name="標準 74" xfId="1805"/>
    <cellStyle name="標準 74 10" xfId="4247"/>
    <cellStyle name="標準 74 10 2" xfId="6520"/>
    <cellStyle name="標準 74 10 2 2" xfId="11324"/>
    <cellStyle name="標準 74 10 3" xfId="10015"/>
    <cellStyle name="標準 74 11" xfId="4339"/>
    <cellStyle name="標準 74 11 2" xfId="6612"/>
    <cellStyle name="標準 74 11 2 2" xfId="11413"/>
    <cellStyle name="標準 74 11 3" xfId="10104"/>
    <cellStyle name="標準 74 12" xfId="4429"/>
    <cellStyle name="標準 74 12 2" xfId="6702"/>
    <cellStyle name="標準 74 12 2 2" xfId="11502"/>
    <cellStyle name="標準 74 12 3" xfId="10193"/>
    <cellStyle name="標準 74 13" xfId="4525"/>
    <cellStyle name="標準 74 13 2" xfId="10282"/>
    <cellStyle name="標準 74 14" xfId="2151"/>
    <cellStyle name="標準 74 14 2" xfId="11597"/>
    <cellStyle name="標準 74 15" xfId="8973"/>
    <cellStyle name="標準 74 2" xfId="2457"/>
    <cellStyle name="標準 74 2 2" xfId="3003"/>
    <cellStyle name="標準 74 2 2 2" xfId="5276"/>
    <cellStyle name="標準 74 2 2 2 2" xfId="10888"/>
    <cellStyle name="標準 74 2 2 3" xfId="9579"/>
    <cellStyle name="標準 74 2 3" xfId="3574"/>
    <cellStyle name="標準 74 2 3 2" xfId="5847"/>
    <cellStyle name="標準 74 2 3 2 2" xfId="11062"/>
    <cellStyle name="標準 74 2 3 3" xfId="9753"/>
    <cellStyle name="標準 74 2 4" xfId="4138"/>
    <cellStyle name="標準 74 2 4 2" xfId="6411"/>
    <cellStyle name="標準 74 2 4 2 2" xfId="11236"/>
    <cellStyle name="標準 74 2 4 3" xfId="9927"/>
    <cellStyle name="標準 74 2 5" xfId="4737"/>
    <cellStyle name="標準 74 2 5 2" xfId="10356"/>
    <cellStyle name="標準 74 2 6" xfId="9047"/>
    <cellStyle name="標準 74 3" xfId="2551"/>
    <cellStyle name="標準 74 3 2" xfId="4829"/>
    <cellStyle name="標準 74 3 2 2" xfId="10446"/>
    <cellStyle name="標準 74 3 3" xfId="9137"/>
    <cellStyle name="標準 74 4" xfId="2641"/>
    <cellStyle name="標準 74 4 2" xfId="4919"/>
    <cellStyle name="標準 74 4 2 2" xfId="10535"/>
    <cellStyle name="標準 74 4 3" xfId="9226"/>
    <cellStyle name="標準 74 5" xfId="2736"/>
    <cellStyle name="標準 74 5 2" xfId="5009"/>
    <cellStyle name="標準 74 5 2 2" xfId="10624"/>
    <cellStyle name="標準 74 5 3" xfId="9315"/>
    <cellStyle name="標準 74 6" xfId="2826"/>
    <cellStyle name="標準 74 6 2" xfId="5099"/>
    <cellStyle name="標準 74 6 2 2" xfId="10713"/>
    <cellStyle name="標準 74 6 3" xfId="9404"/>
    <cellStyle name="標準 74 7" xfId="2915"/>
    <cellStyle name="標準 74 7 2" xfId="5188"/>
    <cellStyle name="標準 74 7 2 2" xfId="10800"/>
    <cellStyle name="標準 74 7 3" xfId="9491"/>
    <cellStyle name="標準 74 8" xfId="3344"/>
    <cellStyle name="標準 74 8 2" xfId="5617"/>
    <cellStyle name="標準 74 8 2 2" xfId="10974"/>
    <cellStyle name="標準 74 8 3" xfId="9665"/>
    <cellStyle name="標準 74 9" xfId="4045"/>
    <cellStyle name="標準 74 9 2" xfId="6318"/>
    <cellStyle name="標準 74 9 2 2" xfId="11148"/>
    <cellStyle name="標準 74 9 3" xfId="9839"/>
    <cellStyle name="標準 75" xfId="1806"/>
    <cellStyle name="標準 75 10" xfId="4240"/>
    <cellStyle name="標準 75 10 2" xfId="6513"/>
    <cellStyle name="標準 75 10 2 2" xfId="11317"/>
    <cellStyle name="標準 75 10 3" xfId="10008"/>
    <cellStyle name="標準 75 11" xfId="4332"/>
    <cellStyle name="標準 75 11 2" xfId="6605"/>
    <cellStyle name="標準 75 11 2 2" xfId="11406"/>
    <cellStyle name="標準 75 11 3" xfId="10097"/>
    <cellStyle name="標準 75 12" xfId="4422"/>
    <cellStyle name="標準 75 12 2" xfId="6695"/>
    <cellStyle name="標準 75 12 2 2" xfId="11495"/>
    <cellStyle name="標準 75 12 3" xfId="10186"/>
    <cellStyle name="標準 75 13" xfId="4518"/>
    <cellStyle name="標準 75 13 2" xfId="10275"/>
    <cellStyle name="標準 75 14" xfId="2144"/>
    <cellStyle name="標準 75 14 2" xfId="11590"/>
    <cellStyle name="標準 75 15" xfId="8966"/>
    <cellStyle name="標準 75 2" xfId="2450"/>
    <cellStyle name="標準 75 2 2" xfId="2996"/>
    <cellStyle name="標準 75 2 2 2" xfId="5269"/>
    <cellStyle name="標準 75 2 2 2 2" xfId="10881"/>
    <cellStyle name="標準 75 2 2 3" xfId="9572"/>
    <cellStyle name="標準 75 2 3" xfId="3567"/>
    <cellStyle name="標準 75 2 3 2" xfId="5840"/>
    <cellStyle name="標準 75 2 3 2 2" xfId="11055"/>
    <cellStyle name="標準 75 2 3 3" xfId="9746"/>
    <cellStyle name="標準 75 2 4" xfId="4131"/>
    <cellStyle name="標準 75 2 4 2" xfId="6404"/>
    <cellStyle name="標準 75 2 4 2 2" xfId="11229"/>
    <cellStyle name="標準 75 2 4 3" xfId="9920"/>
    <cellStyle name="標準 75 2 5" xfId="4730"/>
    <cellStyle name="標準 75 2 5 2" xfId="10349"/>
    <cellStyle name="標準 75 2 6" xfId="9040"/>
    <cellStyle name="標準 75 3" xfId="2544"/>
    <cellStyle name="標準 75 3 2" xfId="4822"/>
    <cellStyle name="標準 75 3 2 2" xfId="10439"/>
    <cellStyle name="標準 75 3 3" xfId="9130"/>
    <cellStyle name="標準 75 4" xfId="2634"/>
    <cellStyle name="標準 75 4 2" xfId="4912"/>
    <cellStyle name="標準 75 4 2 2" xfId="10528"/>
    <cellStyle name="標準 75 4 3" xfId="9219"/>
    <cellStyle name="標準 75 5" xfId="2724"/>
    <cellStyle name="標準 75 5 2" xfId="5002"/>
    <cellStyle name="標準 75 5 2 2" xfId="10617"/>
    <cellStyle name="標準 75 5 3" xfId="9308"/>
    <cellStyle name="標準 75 6" xfId="2819"/>
    <cellStyle name="標準 75 6 2" xfId="5092"/>
    <cellStyle name="標準 75 6 2 2" xfId="10706"/>
    <cellStyle name="標準 75 6 3" xfId="9397"/>
    <cellStyle name="標準 75 7" xfId="2908"/>
    <cellStyle name="標準 75 7 2" xfId="5181"/>
    <cellStyle name="標準 75 7 2 2" xfId="10793"/>
    <cellStyle name="標準 75 7 3" xfId="9484"/>
    <cellStyle name="標準 75 8" xfId="3266"/>
    <cellStyle name="標準 75 8 2" xfId="5539"/>
    <cellStyle name="標準 75 8 2 2" xfId="10967"/>
    <cellStyle name="標準 75 8 3" xfId="9658"/>
    <cellStyle name="標準 75 9" xfId="4025"/>
    <cellStyle name="標準 75 9 2" xfId="6298"/>
    <cellStyle name="標準 75 9 2 2" xfId="11141"/>
    <cellStyle name="標準 75 9 3" xfId="9832"/>
    <cellStyle name="標準 76" xfId="1807"/>
    <cellStyle name="標準 76 10" xfId="4249"/>
    <cellStyle name="標準 76 10 2" xfId="6522"/>
    <cellStyle name="標準 76 10 2 2" xfId="11326"/>
    <cellStyle name="標準 76 10 3" xfId="10017"/>
    <cellStyle name="標準 76 11" xfId="4341"/>
    <cellStyle name="標準 76 11 2" xfId="6614"/>
    <cellStyle name="標準 76 11 2 2" xfId="11415"/>
    <cellStyle name="標準 76 11 3" xfId="10106"/>
    <cellStyle name="標準 76 12" xfId="4431"/>
    <cellStyle name="標準 76 12 2" xfId="6704"/>
    <cellStyle name="標準 76 12 2 2" xfId="11504"/>
    <cellStyle name="標準 76 12 3" xfId="10195"/>
    <cellStyle name="標準 76 13" xfId="4527"/>
    <cellStyle name="標準 76 13 2" xfId="10284"/>
    <cellStyle name="標準 76 14" xfId="2153"/>
    <cellStyle name="標準 76 14 2" xfId="11599"/>
    <cellStyle name="標準 76 15" xfId="8975"/>
    <cellStyle name="標準 76 2" xfId="2459"/>
    <cellStyle name="標準 76 2 2" xfId="3005"/>
    <cellStyle name="標準 76 2 2 2" xfId="5278"/>
    <cellStyle name="標準 76 2 2 2 2" xfId="10890"/>
    <cellStyle name="標準 76 2 2 3" xfId="9581"/>
    <cellStyle name="標準 76 2 3" xfId="3576"/>
    <cellStyle name="標準 76 2 3 2" xfId="5849"/>
    <cellStyle name="標準 76 2 3 2 2" xfId="11064"/>
    <cellStyle name="標準 76 2 3 3" xfId="9755"/>
    <cellStyle name="標準 76 2 4" xfId="4140"/>
    <cellStyle name="標準 76 2 4 2" xfId="6413"/>
    <cellStyle name="標準 76 2 4 2 2" xfId="11238"/>
    <cellStyle name="標準 76 2 4 3" xfId="9929"/>
    <cellStyle name="標準 76 2 5" xfId="4739"/>
    <cellStyle name="標準 76 2 5 2" xfId="10358"/>
    <cellStyle name="標準 76 2 6" xfId="9049"/>
    <cellStyle name="標準 76 3" xfId="2553"/>
    <cellStyle name="標準 76 3 2" xfId="4831"/>
    <cellStyle name="標準 76 3 2 2" xfId="10448"/>
    <cellStyle name="標準 76 3 3" xfId="9139"/>
    <cellStyle name="標準 76 4" xfId="2643"/>
    <cellStyle name="標準 76 4 2" xfId="4921"/>
    <cellStyle name="標準 76 4 2 2" xfId="10537"/>
    <cellStyle name="標準 76 4 3" xfId="9228"/>
    <cellStyle name="標準 76 5" xfId="2738"/>
    <cellStyle name="標準 76 5 2" xfId="5011"/>
    <cellStyle name="標準 76 5 2 2" xfId="10626"/>
    <cellStyle name="標準 76 5 3" xfId="9317"/>
    <cellStyle name="標準 76 6" xfId="2828"/>
    <cellStyle name="標準 76 6 2" xfId="5101"/>
    <cellStyle name="標準 76 6 2 2" xfId="10715"/>
    <cellStyle name="標準 76 6 3" xfId="9406"/>
    <cellStyle name="標準 76 7" xfId="2917"/>
    <cellStyle name="標準 76 7 2" xfId="5190"/>
    <cellStyle name="標準 76 7 2 2" xfId="10802"/>
    <cellStyle name="標準 76 7 3" xfId="9493"/>
    <cellStyle name="標準 76 8" xfId="3346"/>
    <cellStyle name="標準 76 8 2" xfId="5619"/>
    <cellStyle name="標準 76 8 2 2" xfId="10976"/>
    <cellStyle name="標準 76 8 3" xfId="9667"/>
    <cellStyle name="標準 76 9" xfId="4047"/>
    <cellStyle name="標準 76 9 2" xfId="6320"/>
    <cellStyle name="標準 76 9 2 2" xfId="11150"/>
    <cellStyle name="標準 76 9 3" xfId="9841"/>
    <cellStyle name="標準 77" xfId="1808"/>
    <cellStyle name="標準 77 10" xfId="4251"/>
    <cellStyle name="標準 77 10 2" xfId="6524"/>
    <cellStyle name="標準 77 10 2 2" xfId="11328"/>
    <cellStyle name="標準 77 10 3" xfId="10019"/>
    <cellStyle name="標準 77 11" xfId="4343"/>
    <cellStyle name="標準 77 11 2" xfId="6616"/>
    <cellStyle name="標準 77 11 2 2" xfId="11417"/>
    <cellStyle name="標準 77 11 3" xfId="10108"/>
    <cellStyle name="標準 77 12" xfId="4433"/>
    <cellStyle name="標準 77 12 2" xfId="6706"/>
    <cellStyle name="標準 77 12 2 2" xfId="11506"/>
    <cellStyle name="標準 77 12 3" xfId="10197"/>
    <cellStyle name="標準 77 13" xfId="4529"/>
    <cellStyle name="標準 77 13 2" xfId="10286"/>
    <cellStyle name="標準 77 14" xfId="2155"/>
    <cellStyle name="標準 77 14 2" xfId="11601"/>
    <cellStyle name="標準 77 15" xfId="8977"/>
    <cellStyle name="標準 77 2" xfId="2461"/>
    <cellStyle name="標準 77 2 2" xfId="3007"/>
    <cellStyle name="標準 77 2 2 2" xfId="5280"/>
    <cellStyle name="標準 77 2 2 2 2" xfId="10892"/>
    <cellStyle name="標準 77 2 2 3" xfId="9583"/>
    <cellStyle name="標準 77 2 3" xfId="3578"/>
    <cellStyle name="標準 77 2 3 2" xfId="5851"/>
    <cellStyle name="標準 77 2 3 2 2" xfId="11066"/>
    <cellStyle name="標準 77 2 3 3" xfId="9757"/>
    <cellStyle name="標準 77 2 4" xfId="4142"/>
    <cellStyle name="標準 77 2 4 2" xfId="6415"/>
    <cellStyle name="標準 77 2 4 2 2" xfId="11240"/>
    <cellStyle name="標準 77 2 4 3" xfId="9931"/>
    <cellStyle name="標準 77 2 5" xfId="4741"/>
    <cellStyle name="標準 77 2 5 2" xfId="10360"/>
    <cellStyle name="標準 77 2 6" xfId="9051"/>
    <cellStyle name="標準 77 3" xfId="2555"/>
    <cellStyle name="標準 77 3 2" xfId="4833"/>
    <cellStyle name="標準 77 3 2 2" xfId="10450"/>
    <cellStyle name="標準 77 3 3" xfId="9141"/>
    <cellStyle name="標準 77 4" xfId="2645"/>
    <cellStyle name="標準 77 4 2" xfId="4923"/>
    <cellStyle name="標準 77 4 2 2" xfId="10539"/>
    <cellStyle name="標準 77 4 3" xfId="9230"/>
    <cellStyle name="標準 77 5" xfId="2740"/>
    <cellStyle name="標準 77 5 2" xfId="5013"/>
    <cellStyle name="標準 77 5 2 2" xfId="10628"/>
    <cellStyle name="標準 77 5 3" xfId="9319"/>
    <cellStyle name="標準 77 6" xfId="2830"/>
    <cellStyle name="標準 77 6 2" xfId="5103"/>
    <cellStyle name="標準 77 6 2 2" xfId="10717"/>
    <cellStyle name="標準 77 6 3" xfId="9408"/>
    <cellStyle name="標準 77 7" xfId="2919"/>
    <cellStyle name="標準 77 7 2" xfId="5192"/>
    <cellStyle name="標準 77 7 2 2" xfId="10804"/>
    <cellStyle name="標準 77 7 3" xfId="9495"/>
    <cellStyle name="標準 77 8" xfId="3348"/>
    <cellStyle name="標準 77 8 2" xfId="5621"/>
    <cellStyle name="標準 77 8 2 2" xfId="10978"/>
    <cellStyle name="標準 77 8 3" xfId="9669"/>
    <cellStyle name="標準 77 9" xfId="4049"/>
    <cellStyle name="標準 77 9 2" xfId="6322"/>
    <cellStyle name="標準 77 9 2 2" xfId="11152"/>
    <cellStyle name="標準 77 9 3" xfId="9843"/>
    <cellStyle name="標準 78" xfId="1809"/>
    <cellStyle name="標準 78 10" xfId="4254"/>
    <cellStyle name="標準 78 10 2" xfId="6527"/>
    <cellStyle name="標準 78 10 2 2" xfId="11331"/>
    <cellStyle name="標準 78 10 3" xfId="10022"/>
    <cellStyle name="標準 78 11" xfId="4346"/>
    <cellStyle name="標準 78 11 2" xfId="6619"/>
    <cellStyle name="標準 78 11 2 2" xfId="11420"/>
    <cellStyle name="標準 78 11 3" xfId="10111"/>
    <cellStyle name="標準 78 12" xfId="4436"/>
    <cellStyle name="標準 78 12 2" xfId="6709"/>
    <cellStyle name="標準 78 12 2 2" xfId="11509"/>
    <cellStyle name="標準 78 12 3" xfId="10200"/>
    <cellStyle name="標準 78 13" xfId="4532"/>
    <cellStyle name="標準 78 13 2" xfId="10289"/>
    <cellStyle name="標準 78 14" xfId="2158"/>
    <cellStyle name="標準 78 14 2" xfId="11604"/>
    <cellStyle name="標準 78 15" xfId="8980"/>
    <cellStyle name="標準 78 2" xfId="2464"/>
    <cellStyle name="標準 78 2 2" xfId="3010"/>
    <cellStyle name="標準 78 2 2 2" xfId="5283"/>
    <cellStyle name="標準 78 2 2 2 2" xfId="10895"/>
    <cellStyle name="標準 78 2 2 3" xfId="9586"/>
    <cellStyle name="標準 78 2 3" xfId="3581"/>
    <cellStyle name="標準 78 2 3 2" xfId="5854"/>
    <cellStyle name="標準 78 2 3 2 2" xfId="11069"/>
    <cellStyle name="標準 78 2 3 3" xfId="9760"/>
    <cellStyle name="標準 78 2 4" xfId="4145"/>
    <cellStyle name="標準 78 2 4 2" xfId="6418"/>
    <cellStyle name="標準 78 2 4 2 2" xfId="11243"/>
    <cellStyle name="標準 78 2 4 3" xfId="9934"/>
    <cellStyle name="標準 78 2 5" xfId="4744"/>
    <cellStyle name="標準 78 2 5 2" xfId="10363"/>
    <cellStyle name="標準 78 2 6" xfId="9054"/>
    <cellStyle name="標準 78 3" xfId="2558"/>
    <cellStyle name="標準 78 3 2" xfId="4836"/>
    <cellStyle name="標準 78 3 2 2" xfId="10453"/>
    <cellStyle name="標準 78 3 3" xfId="9144"/>
    <cellStyle name="標準 78 4" xfId="2648"/>
    <cellStyle name="標準 78 4 2" xfId="4926"/>
    <cellStyle name="標準 78 4 2 2" xfId="10542"/>
    <cellStyle name="標準 78 4 3" xfId="9233"/>
    <cellStyle name="標準 78 5" xfId="2743"/>
    <cellStyle name="標準 78 5 2" xfId="5016"/>
    <cellStyle name="標準 78 5 2 2" xfId="10631"/>
    <cellStyle name="標準 78 5 3" xfId="9322"/>
    <cellStyle name="標準 78 6" xfId="2833"/>
    <cellStyle name="標準 78 6 2" xfId="5106"/>
    <cellStyle name="標準 78 6 2 2" xfId="10720"/>
    <cellStyle name="標準 78 6 3" xfId="9411"/>
    <cellStyle name="標準 78 7" xfId="2922"/>
    <cellStyle name="標準 78 7 2" xfId="5195"/>
    <cellStyle name="標準 78 7 2 2" xfId="10807"/>
    <cellStyle name="標準 78 7 3" xfId="9498"/>
    <cellStyle name="標準 78 8" xfId="3351"/>
    <cellStyle name="標準 78 8 2" xfId="5624"/>
    <cellStyle name="標準 78 8 2 2" xfId="10981"/>
    <cellStyle name="標準 78 8 3" xfId="9672"/>
    <cellStyle name="標準 78 9" xfId="4052"/>
    <cellStyle name="標準 78 9 2" xfId="6325"/>
    <cellStyle name="標準 78 9 2 2" xfId="11155"/>
    <cellStyle name="標準 78 9 3" xfId="9846"/>
    <cellStyle name="標準 79" xfId="1810"/>
    <cellStyle name="標準 79 10" xfId="4262"/>
    <cellStyle name="標準 79 10 2" xfId="6535"/>
    <cellStyle name="標準 79 10 2 2" xfId="11339"/>
    <cellStyle name="標準 79 10 3" xfId="10030"/>
    <cellStyle name="標準 79 11" xfId="4354"/>
    <cellStyle name="標準 79 11 2" xfId="6627"/>
    <cellStyle name="標準 79 11 2 2" xfId="11428"/>
    <cellStyle name="標準 79 11 3" xfId="10119"/>
    <cellStyle name="標準 79 12" xfId="4444"/>
    <cellStyle name="標準 79 12 2" xfId="6717"/>
    <cellStyle name="標準 79 12 2 2" xfId="11517"/>
    <cellStyle name="標準 79 12 3" xfId="10208"/>
    <cellStyle name="標準 79 13" xfId="4540"/>
    <cellStyle name="標準 79 13 2" xfId="10297"/>
    <cellStyle name="標準 79 14" xfId="2166"/>
    <cellStyle name="標準 79 14 2" xfId="11612"/>
    <cellStyle name="標準 79 15" xfId="8988"/>
    <cellStyle name="標準 79 2" xfId="2472"/>
    <cellStyle name="標準 79 2 2" xfId="3018"/>
    <cellStyle name="標準 79 2 2 2" xfId="5291"/>
    <cellStyle name="標準 79 2 2 2 2" xfId="10903"/>
    <cellStyle name="標準 79 2 2 3" xfId="9594"/>
    <cellStyle name="標準 79 2 3" xfId="3589"/>
    <cellStyle name="標準 79 2 3 2" xfId="5862"/>
    <cellStyle name="標準 79 2 3 2 2" xfId="11077"/>
    <cellStyle name="標準 79 2 3 3" xfId="9768"/>
    <cellStyle name="標準 79 2 4" xfId="4153"/>
    <cellStyle name="標準 79 2 4 2" xfId="6426"/>
    <cellStyle name="標準 79 2 4 2 2" xfId="11251"/>
    <cellStyle name="標準 79 2 4 3" xfId="9942"/>
    <cellStyle name="標準 79 2 5" xfId="4752"/>
    <cellStyle name="標準 79 2 5 2" xfId="10371"/>
    <cellStyle name="標準 79 2 6" xfId="9062"/>
    <cellStyle name="標準 79 3" xfId="2566"/>
    <cellStyle name="標準 79 3 2" xfId="4844"/>
    <cellStyle name="標準 79 3 2 2" xfId="10461"/>
    <cellStyle name="標準 79 3 3" xfId="9152"/>
    <cellStyle name="標準 79 4" xfId="2656"/>
    <cellStyle name="標準 79 4 2" xfId="4934"/>
    <cellStyle name="標準 79 4 2 2" xfId="10550"/>
    <cellStyle name="標準 79 4 3" xfId="9241"/>
    <cellStyle name="標準 79 5" xfId="2751"/>
    <cellStyle name="標準 79 5 2" xfId="5024"/>
    <cellStyle name="標準 79 5 2 2" xfId="10639"/>
    <cellStyle name="標準 79 5 3" xfId="9330"/>
    <cellStyle name="標準 79 6" xfId="2841"/>
    <cellStyle name="標準 79 6 2" xfId="5114"/>
    <cellStyle name="標準 79 6 2 2" xfId="10728"/>
    <cellStyle name="標準 79 6 3" xfId="9419"/>
    <cellStyle name="標準 79 7" xfId="2930"/>
    <cellStyle name="標準 79 7 2" xfId="5203"/>
    <cellStyle name="標準 79 7 2 2" xfId="10815"/>
    <cellStyle name="標準 79 7 3" xfId="9506"/>
    <cellStyle name="標準 79 8" xfId="3359"/>
    <cellStyle name="標準 79 8 2" xfId="5632"/>
    <cellStyle name="標準 79 8 2 2" xfId="10989"/>
    <cellStyle name="標準 79 8 3" xfId="9680"/>
    <cellStyle name="標準 79 9" xfId="4060"/>
    <cellStyle name="標準 79 9 2" xfId="6333"/>
    <cellStyle name="標準 79 9 2 2" xfId="11163"/>
    <cellStyle name="標準 79 9 3" xfId="9854"/>
    <cellStyle name="標準 8" xfId="1811"/>
    <cellStyle name="標準 8 2" xfId="1812"/>
    <cellStyle name="標準 8 2 10" xfId="1813"/>
    <cellStyle name="標準 8 2 11" xfId="1814"/>
    <cellStyle name="標準 8 2 11 2" xfId="6839"/>
    <cellStyle name="標準 8 2 2" xfId="1815"/>
    <cellStyle name="標準 8 2 2 2" xfId="1816"/>
    <cellStyle name="標準 8 2 2 2 2" xfId="1817"/>
    <cellStyle name="標準 8 2 2 2 2 2" xfId="1818"/>
    <cellStyle name="標準 8 2 2 2 3" xfId="1819"/>
    <cellStyle name="標準 8 2 2 3" xfId="1820"/>
    <cellStyle name="標準 8 2 2 3 2" xfId="1821"/>
    <cellStyle name="標準 8 2 2 4" xfId="1822"/>
    <cellStyle name="標準 8 2 2 5" xfId="1823"/>
    <cellStyle name="標準 8 2 2 5 2" xfId="6840"/>
    <cellStyle name="標準 8 2 3" xfId="1824"/>
    <cellStyle name="標準 8 2 3 2" xfId="1825"/>
    <cellStyle name="標準 8 2 3 2 2" xfId="1826"/>
    <cellStyle name="標準 8 2 3 2 2 2" xfId="1827"/>
    <cellStyle name="標準 8 2 3 2 3" xfId="1828"/>
    <cellStyle name="標準 8 2 3 3" xfId="1829"/>
    <cellStyle name="標準 8 2 3 3 2" xfId="1830"/>
    <cellStyle name="標準 8 2 3 4" xfId="1831"/>
    <cellStyle name="標準 8 2 4" xfId="1832"/>
    <cellStyle name="標準 8 2 4 2" xfId="1833"/>
    <cellStyle name="標準 8 2 4 2 2" xfId="1834"/>
    <cellStyle name="標準 8 2 4 3" xfId="1835"/>
    <cellStyle name="標準 8 2 5" xfId="1836"/>
    <cellStyle name="標準 8 2 5 2" xfId="1837"/>
    <cellStyle name="標準 8 2 5 2 2" xfId="1838"/>
    <cellStyle name="標準 8 2 5 3" xfId="1839"/>
    <cellStyle name="標準 8 2 6" xfId="1840"/>
    <cellStyle name="標準 8 2 6 2" xfId="1841"/>
    <cellStyle name="標準 8 2 6 2 2" xfId="1842"/>
    <cellStyle name="標準 8 2 6 3" xfId="1843"/>
    <cellStyle name="標準 8 2 7" xfId="1844"/>
    <cellStyle name="標準 8 2 7 2" xfId="1845"/>
    <cellStyle name="標準 8 2 7 2 2" xfId="1846"/>
    <cellStyle name="標準 8 2 7 3" xfId="1847"/>
    <cellStyle name="標準 8 2 8" xfId="1848"/>
    <cellStyle name="標準 8 2 8 2" xfId="1849"/>
    <cellStyle name="標準 8 2 9" xfId="1850"/>
    <cellStyle name="標準 8 2 9 2" xfId="1851"/>
    <cellStyle name="標準 8 3" xfId="1852"/>
    <cellStyle name="標準 8 3 2" xfId="1853"/>
    <cellStyle name="標準 8 4" xfId="1854"/>
    <cellStyle name="標準 8 4 2" xfId="1855"/>
    <cellStyle name="標準 8 5" xfId="1856"/>
    <cellStyle name="標準 8 6" xfId="1857"/>
    <cellStyle name="標準 8 7" xfId="6841"/>
    <cellStyle name="標準 8_仮資料_取得場所案" xfId="1858"/>
    <cellStyle name="標準 80" xfId="1859"/>
    <cellStyle name="標準 80 10" xfId="4265"/>
    <cellStyle name="標準 80 10 2" xfId="6538"/>
    <cellStyle name="標準 80 10 2 2" xfId="11342"/>
    <cellStyle name="標準 80 10 3" xfId="10033"/>
    <cellStyle name="標準 80 11" xfId="4357"/>
    <cellStyle name="標準 80 11 2" xfId="6630"/>
    <cellStyle name="標準 80 11 2 2" xfId="11431"/>
    <cellStyle name="標準 80 11 3" xfId="10122"/>
    <cellStyle name="標準 80 12" xfId="4447"/>
    <cellStyle name="標準 80 12 2" xfId="6720"/>
    <cellStyle name="標準 80 12 2 2" xfId="11520"/>
    <cellStyle name="標準 80 12 3" xfId="10211"/>
    <cellStyle name="標準 80 13" xfId="4543"/>
    <cellStyle name="標準 80 13 2" xfId="10300"/>
    <cellStyle name="標準 80 14" xfId="2169"/>
    <cellStyle name="標準 80 14 2" xfId="11615"/>
    <cellStyle name="標準 80 15" xfId="8991"/>
    <cellStyle name="標準 80 2" xfId="2475"/>
    <cellStyle name="標準 80 2 2" xfId="3021"/>
    <cellStyle name="標準 80 2 2 2" xfId="5294"/>
    <cellStyle name="標準 80 2 2 2 2" xfId="10906"/>
    <cellStyle name="標準 80 2 2 3" xfId="9597"/>
    <cellStyle name="標準 80 2 3" xfId="3592"/>
    <cellStyle name="標準 80 2 3 2" xfId="5865"/>
    <cellStyle name="標準 80 2 3 2 2" xfId="11080"/>
    <cellStyle name="標準 80 2 3 3" xfId="9771"/>
    <cellStyle name="標準 80 2 4" xfId="4156"/>
    <cellStyle name="標準 80 2 4 2" xfId="6429"/>
    <cellStyle name="標準 80 2 4 2 2" xfId="11254"/>
    <cellStyle name="標準 80 2 4 3" xfId="9945"/>
    <cellStyle name="標準 80 2 5" xfId="4755"/>
    <cellStyle name="標準 80 2 5 2" xfId="10374"/>
    <cellStyle name="標準 80 2 6" xfId="9065"/>
    <cellStyle name="標準 80 3" xfId="2569"/>
    <cellStyle name="標準 80 3 2" xfId="4847"/>
    <cellStyle name="標準 80 3 2 2" xfId="10464"/>
    <cellStyle name="標準 80 3 3" xfId="9155"/>
    <cellStyle name="標準 80 4" xfId="2659"/>
    <cellStyle name="標準 80 4 2" xfId="4937"/>
    <cellStyle name="標準 80 4 2 2" xfId="10553"/>
    <cellStyle name="標準 80 4 3" xfId="9244"/>
    <cellStyle name="標準 80 5" xfId="2754"/>
    <cellStyle name="標準 80 5 2" xfId="5027"/>
    <cellStyle name="標準 80 5 2 2" xfId="10642"/>
    <cellStyle name="標準 80 5 3" xfId="9333"/>
    <cellStyle name="標準 80 6" xfId="2844"/>
    <cellStyle name="標準 80 6 2" xfId="5117"/>
    <cellStyle name="標準 80 6 2 2" xfId="10731"/>
    <cellStyle name="標準 80 6 3" xfId="9422"/>
    <cellStyle name="標準 80 7" xfId="2933"/>
    <cellStyle name="標準 80 7 2" xfId="5206"/>
    <cellStyle name="標準 80 7 2 2" xfId="10818"/>
    <cellStyle name="標準 80 7 3" xfId="9509"/>
    <cellStyle name="標準 80 8" xfId="3362"/>
    <cellStyle name="標準 80 8 2" xfId="5635"/>
    <cellStyle name="標準 80 8 2 2" xfId="10992"/>
    <cellStyle name="標準 80 8 3" xfId="9683"/>
    <cellStyle name="標準 80 9" xfId="4063"/>
    <cellStyle name="標準 80 9 2" xfId="6336"/>
    <cellStyle name="標準 80 9 2 2" xfId="11166"/>
    <cellStyle name="標準 80 9 3" xfId="9857"/>
    <cellStyle name="標準 81" xfId="1860"/>
    <cellStyle name="標準 81 10" xfId="4261"/>
    <cellStyle name="標準 81 10 2" xfId="6534"/>
    <cellStyle name="標準 81 10 2 2" xfId="11338"/>
    <cellStyle name="標準 81 10 3" xfId="10029"/>
    <cellStyle name="標準 81 11" xfId="4353"/>
    <cellStyle name="標準 81 11 2" xfId="6626"/>
    <cellStyle name="標準 81 11 2 2" xfId="11427"/>
    <cellStyle name="標準 81 11 3" xfId="10118"/>
    <cellStyle name="標準 81 12" xfId="4443"/>
    <cellStyle name="標準 81 12 2" xfId="6716"/>
    <cellStyle name="標準 81 12 2 2" xfId="11516"/>
    <cellStyle name="標準 81 12 3" xfId="10207"/>
    <cellStyle name="標準 81 13" xfId="4539"/>
    <cellStyle name="標準 81 13 2" xfId="10296"/>
    <cellStyle name="標準 81 14" xfId="2165"/>
    <cellStyle name="標準 81 14 2" xfId="11611"/>
    <cellStyle name="標準 81 15" xfId="8987"/>
    <cellStyle name="標準 81 2" xfId="2471"/>
    <cellStyle name="標準 81 2 2" xfId="3017"/>
    <cellStyle name="標準 81 2 2 2" xfId="5290"/>
    <cellStyle name="標準 81 2 2 2 2" xfId="10902"/>
    <cellStyle name="標準 81 2 2 3" xfId="9593"/>
    <cellStyle name="標準 81 2 3" xfId="3588"/>
    <cellStyle name="標準 81 2 3 2" xfId="5861"/>
    <cellStyle name="標準 81 2 3 2 2" xfId="11076"/>
    <cellStyle name="標準 81 2 3 3" xfId="9767"/>
    <cellStyle name="標準 81 2 4" xfId="4152"/>
    <cellStyle name="標準 81 2 4 2" xfId="6425"/>
    <cellStyle name="標準 81 2 4 2 2" xfId="11250"/>
    <cellStyle name="標準 81 2 4 3" xfId="9941"/>
    <cellStyle name="標準 81 2 5" xfId="4751"/>
    <cellStyle name="標準 81 2 5 2" xfId="10370"/>
    <cellStyle name="標準 81 2 6" xfId="9061"/>
    <cellStyle name="標準 81 3" xfId="2565"/>
    <cellStyle name="標準 81 3 2" xfId="4843"/>
    <cellStyle name="標準 81 3 2 2" xfId="10460"/>
    <cellStyle name="標準 81 3 3" xfId="9151"/>
    <cellStyle name="標準 81 4" xfId="2655"/>
    <cellStyle name="標準 81 4 2" xfId="4933"/>
    <cellStyle name="標準 81 4 2 2" xfId="10549"/>
    <cellStyle name="標準 81 4 3" xfId="9240"/>
    <cellStyle name="標準 81 5" xfId="2750"/>
    <cellStyle name="標準 81 5 2" xfId="5023"/>
    <cellStyle name="標準 81 5 2 2" xfId="10638"/>
    <cellStyle name="標準 81 5 3" xfId="9329"/>
    <cellStyle name="標準 81 6" xfId="2840"/>
    <cellStyle name="標準 81 6 2" xfId="5113"/>
    <cellStyle name="標準 81 6 2 2" xfId="10727"/>
    <cellStyle name="標準 81 6 3" xfId="9418"/>
    <cellStyle name="標準 81 7" xfId="2929"/>
    <cellStyle name="標準 81 7 2" xfId="5202"/>
    <cellStyle name="標準 81 7 2 2" xfId="10814"/>
    <cellStyle name="標準 81 7 3" xfId="9505"/>
    <cellStyle name="標準 81 8" xfId="3358"/>
    <cellStyle name="標準 81 8 2" xfId="5631"/>
    <cellStyle name="標準 81 8 2 2" xfId="10988"/>
    <cellStyle name="標準 81 8 3" xfId="9679"/>
    <cellStyle name="標準 81 9" xfId="4059"/>
    <cellStyle name="標準 81 9 2" xfId="6332"/>
    <cellStyle name="標準 81 9 2 2" xfId="11162"/>
    <cellStyle name="標準 81 9 3" xfId="9853"/>
    <cellStyle name="標準 82" xfId="1861"/>
    <cellStyle name="標準 82 10" xfId="4257"/>
    <cellStyle name="標準 82 10 2" xfId="6530"/>
    <cellStyle name="標準 82 10 2 2" xfId="11334"/>
    <cellStyle name="標準 82 10 3" xfId="10025"/>
    <cellStyle name="標準 82 11" xfId="4349"/>
    <cellStyle name="標準 82 11 2" xfId="6622"/>
    <cellStyle name="標準 82 11 2 2" xfId="11423"/>
    <cellStyle name="標準 82 11 3" xfId="10114"/>
    <cellStyle name="標準 82 12" xfId="4439"/>
    <cellStyle name="標準 82 12 2" xfId="6712"/>
    <cellStyle name="標準 82 12 2 2" xfId="11512"/>
    <cellStyle name="標準 82 12 3" xfId="10203"/>
    <cellStyle name="標準 82 13" xfId="4535"/>
    <cellStyle name="標準 82 13 2" xfId="10292"/>
    <cellStyle name="標準 82 14" xfId="2161"/>
    <cellStyle name="標準 82 14 2" xfId="11607"/>
    <cellStyle name="標準 82 15" xfId="8983"/>
    <cellStyle name="標準 82 2" xfId="2467"/>
    <cellStyle name="標準 82 2 2" xfId="3013"/>
    <cellStyle name="標準 82 2 2 2" xfId="5286"/>
    <cellStyle name="標準 82 2 2 2 2" xfId="10898"/>
    <cellStyle name="標準 82 2 2 3" xfId="9589"/>
    <cellStyle name="標準 82 2 3" xfId="3584"/>
    <cellStyle name="標準 82 2 3 2" xfId="5857"/>
    <cellStyle name="標準 82 2 3 2 2" xfId="11072"/>
    <cellStyle name="標準 82 2 3 3" xfId="9763"/>
    <cellStyle name="標準 82 2 4" xfId="4148"/>
    <cellStyle name="標準 82 2 4 2" xfId="6421"/>
    <cellStyle name="標準 82 2 4 2 2" xfId="11246"/>
    <cellStyle name="標準 82 2 4 3" xfId="9937"/>
    <cellStyle name="標準 82 2 5" xfId="4747"/>
    <cellStyle name="標準 82 2 5 2" xfId="10366"/>
    <cellStyle name="標準 82 2 6" xfId="9057"/>
    <cellStyle name="標準 82 3" xfId="2561"/>
    <cellStyle name="標準 82 3 2" xfId="4839"/>
    <cellStyle name="標準 82 3 2 2" xfId="10456"/>
    <cellStyle name="標準 82 3 3" xfId="9147"/>
    <cellStyle name="標準 82 4" xfId="2651"/>
    <cellStyle name="標準 82 4 2" xfId="4929"/>
    <cellStyle name="標準 82 4 2 2" xfId="10545"/>
    <cellStyle name="標準 82 4 3" xfId="9236"/>
    <cellStyle name="標準 82 5" xfId="2746"/>
    <cellStyle name="標準 82 5 2" xfId="5019"/>
    <cellStyle name="標準 82 5 2 2" xfId="10634"/>
    <cellStyle name="標準 82 5 3" xfId="9325"/>
    <cellStyle name="標準 82 6" xfId="2836"/>
    <cellStyle name="標準 82 6 2" xfId="5109"/>
    <cellStyle name="標準 82 6 2 2" xfId="10723"/>
    <cellStyle name="標準 82 6 3" xfId="9414"/>
    <cellStyle name="標準 82 7" xfId="2925"/>
    <cellStyle name="標準 82 7 2" xfId="5198"/>
    <cellStyle name="標準 82 7 2 2" xfId="10810"/>
    <cellStyle name="標準 82 7 3" xfId="9501"/>
    <cellStyle name="標準 82 8" xfId="3354"/>
    <cellStyle name="標準 82 8 2" xfId="5627"/>
    <cellStyle name="標準 82 8 2 2" xfId="10984"/>
    <cellStyle name="標準 82 8 3" xfId="9675"/>
    <cellStyle name="標準 82 9" xfId="4055"/>
    <cellStyle name="標準 82 9 2" xfId="6328"/>
    <cellStyle name="標準 82 9 2 2" xfId="11158"/>
    <cellStyle name="標準 82 9 3" xfId="9849"/>
    <cellStyle name="標準 83" xfId="1862"/>
    <cellStyle name="標準 83 10" xfId="4058"/>
    <cellStyle name="標準 83 10 2" xfId="6331"/>
    <cellStyle name="標準 83 10 2 2" xfId="11161"/>
    <cellStyle name="標準 83 10 3" xfId="9852"/>
    <cellStyle name="標準 83 11" xfId="4260"/>
    <cellStyle name="標準 83 11 2" xfId="6533"/>
    <cellStyle name="標準 83 11 2 2" xfId="11337"/>
    <cellStyle name="標準 83 11 3" xfId="10028"/>
    <cellStyle name="標準 83 12" xfId="4352"/>
    <cellStyle name="標準 83 12 2" xfId="6625"/>
    <cellStyle name="標準 83 12 2 2" xfId="11426"/>
    <cellStyle name="標準 83 12 3" xfId="10117"/>
    <cellStyle name="標準 83 13" xfId="4442"/>
    <cellStyle name="標準 83 13 2" xfId="6715"/>
    <cellStyle name="標準 83 13 2 2" xfId="11515"/>
    <cellStyle name="標準 83 13 3" xfId="10206"/>
    <cellStyle name="標準 83 14" xfId="4538"/>
    <cellStyle name="標準 83 14 2" xfId="10295"/>
    <cellStyle name="標準 83 15" xfId="2164"/>
    <cellStyle name="標準 83 15 2" xfId="11610"/>
    <cellStyle name="標準 83 16" xfId="8986"/>
    <cellStyle name="標準 83 2" xfId="2196"/>
    <cellStyle name="標準 83 2 10" xfId="4292"/>
    <cellStyle name="標準 83 2 10 2" xfId="6565"/>
    <cellStyle name="標準 83 2 10 2 2" xfId="11369"/>
    <cellStyle name="標準 83 2 10 3" xfId="10060"/>
    <cellStyle name="標準 83 2 11" xfId="4384"/>
    <cellStyle name="標準 83 2 11 2" xfId="6657"/>
    <cellStyle name="標準 83 2 11 2 2" xfId="11458"/>
    <cellStyle name="標準 83 2 11 3" xfId="10149"/>
    <cellStyle name="標準 83 2 12" xfId="4474"/>
    <cellStyle name="標準 83 2 12 2" xfId="6747"/>
    <cellStyle name="標準 83 2 12 2 2" xfId="11547"/>
    <cellStyle name="標準 83 2 12 3" xfId="10238"/>
    <cellStyle name="標準 83 2 13" xfId="4570"/>
    <cellStyle name="標準 83 2 13 2" xfId="10327"/>
    <cellStyle name="標準 83 2 14" xfId="9018"/>
    <cellStyle name="標準 83 2 2" xfId="2502"/>
    <cellStyle name="標準 83 2 2 2" xfId="3048"/>
    <cellStyle name="標準 83 2 2 2 2" xfId="5321"/>
    <cellStyle name="標準 83 2 2 2 2 2" xfId="10933"/>
    <cellStyle name="標準 83 2 2 2 3" xfId="9624"/>
    <cellStyle name="標準 83 2 2 3" xfId="3620"/>
    <cellStyle name="標準 83 2 2 3 2" xfId="5893"/>
    <cellStyle name="標準 83 2 2 3 2 2" xfId="11107"/>
    <cellStyle name="標準 83 2 2 3 3" xfId="9798"/>
    <cellStyle name="標準 83 2 2 4" xfId="4183"/>
    <cellStyle name="標準 83 2 2 4 2" xfId="6456"/>
    <cellStyle name="標準 83 2 2 4 2 2" xfId="11281"/>
    <cellStyle name="標準 83 2 2 4 3" xfId="9972"/>
    <cellStyle name="標準 83 2 2 5" xfId="4782"/>
    <cellStyle name="標準 83 2 2 5 2" xfId="10401"/>
    <cellStyle name="標準 83 2 2 6" xfId="9092"/>
    <cellStyle name="標準 83 2 3" xfId="2596"/>
    <cellStyle name="標準 83 2 3 2" xfId="4874"/>
    <cellStyle name="標準 83 2 3 2 2" xfId="10491"/>
    <cellStyle name="標準 83 2 3 3" xfId="9182"/>
    <cellStyle name="標準 83 2 4" xfId="2686"/>
    <cellStyle name="標準 83 2 4 2" xfId="4964"/>
    <cellStyle name="標準 83 2 4 2 2" xfId="10580"/>
    <cellStyle name="標準 83 2 4 3" xfId="9271"/>
    <cellStyle name="標準 83 2 5" xfId="2781"/>
    <cellStyle name="標準 83 2 5 2" xfId="5054"/>
    <cellStyle name="標準 83 2 5 2 2" xfId="10669"/>
    <cellStyle name="標準 83 2 5 3" xfId="9360"/>
    <cellStyle name="標準 83 2 6" xfId="2871"/>
    <cellStyle name="標準 83 2 6 2" xfId="5144"/>
    <cellStyle name="標準 83 2 6 2 2" xfId="10758"/>
    <cellStyle name="標準 83 2 6 3" xfId="9449"/>
    <cellStyle name="標準 83 2 7" xfId="2960"/>
    <cellStyle name="標準 83 2 7 2" xfId="5233"/>
    <cellStyle name="標準 83 2 7 2 2" xfId="10845"/>
    <cellStyle name="標準 83 2 7 3" xfId="9536"/>
    <cellStyle name="標準 83 2 8" xfId="3396"/>
    <cellStyle name="標準 83 2 8 2" xfId="5669"/>
    <cellStyle name="標準 83 2 8 2 2" xfId="11019"/>
    <cellStyle name="標準 83 2 8 3" xfId="9710"/>
    <cellStyle name="標準 83 2 9" xfId="4090"/>
    <cellStyle name="標準 83 2 9 2" xfId="6363"/>
    <cellStyle name="標準 83 2 9 2 2" xfId="11193"/>
    <cellStyle name="標準 83 2 9 3" xfId="9884"/>
    <cellStyle name="標準 83 3" xfId="2470"/>
    <cellStyle name="標準 83 3 2" xfId="3016"/>
    <cellStyle name="標準 83 3 2 2" xfId="5289"/>
    <cellStyle name="標準 83 3 2 2 2" xfId="10901"/>
    <cellStyle name="標準 83 3 2 3" xfId="9592"/>
    <cellStyle name="標準 83 3 3" xfId="3587"/>
    <cellStyle name="標準 83 3 3 2" xfId="5860"/>
    <cellStyle name="標準 83 3 3 2 2" xfId="11075"/>
    <cellStyle name="標準 83 3 3 3" xfId="9766"/>
    <cellStyle name="標準 83 3 4" xfId="4151"/>
    <cellStyle name="標準 83 3 4 2" xfId="6424"/>
    <cellStyle name="標準 83 3 4 2 2" xfId="11249"/>
    <cellStyle name="標準 83 3 4 3" xfId="9940"/>
    <cellStyle name="標準 83 3 5" xfId="4750"/>
    <cellStyle name="標準 83 3 5 2" xfId="10369"/>
    <cellStyle name="標準 83 3 6" xfId="9060"/>
    <cellStyle name="標準 83 4" xfId="2564"/>
    <cellStyle name="標準 83 4 2" xfId="4842"/>
    <cellStyle name="標準 83 4 2 2" xfId="10459"/>
    <cellStyle name="標準 83 4 3" xfId="9150"/>
    <cellStyle name="標準 83 5" xfId="2654"/>
    <cellStyle name="標準 83 5 2" xfId="4932"/>
    <cellStyle name="標準 83 5 2 2" xfId="10548"/>
    <cellStyle name="標準 83 5 3" xfId="9239"/>
    <cellStyle name="標準 83 6" xfId="2749"/>
    <cellStyle name="標準 83 6 2" xfId="5022"/>
    <cellStyle name="標準 83 6 2 2" xfId="10637"/>
    <cellStyle name="標準 83 6 3" xfId="9328"/>
    <cellStyle name="標準 83 7" xfId="2839"/>
    <cellStyle name="標準 83 7 2" xfId="5112"/>
    <cellStyle name="標準 83 7 2 2" xfId="10726"/>
    <cellStyle name="標準 83 7 3" xfId="9417"/>
    <cellStyle name="標準 83 8" xfId="2928"/>
    <cellStyle name="標準 83 8 2" xfId="5201"/>
    <cellStyle name="標準 83 8 2 2" xfId="10813"/>
    <cellStyle name="標準 83 8 3" xfId="9504"/>
    <cellStyle name="標準 83 9" xfId="3357"/>
    <cellStyle name="標準 83 9 2" xfId="5630"/>
    <cellStyle name="標準 83 9 2 2" xfId="10987"/>
    <cellStyle name="標準 83 9 3" xfId="9678"/>
    <cellStyle name="標準 84" xfId="1863"/>
    <cellStyle name="標準 84 10" xfId="4256"/>
    <cellStyle name="標準 84 10 2" xfId="6529"/>
    <cellStyle name="標準 84 10 2 2" xfId="11333"/>
    <cellStyle name="標準 84 10 3" xfId="10024"/>
    <cellStyle name="標準 84 11" xfId="4348"/>
    <cellStyle name="標準 84 11 2" xfId="6621"/>
    <cellStyle name="標準 84 11 2 2" xfId="11422"/>
    <cellStyle name="標準 84 11 3" xfId="10113"/>
    <cellStyle name="標準 84 12" xfId="4438"/>
    <cellStyle name="標準 84 12 2" xfId="6711"/>
    <cellStyle name="標準 84 12 2 2" xfId="11511"/>
    <cellStyle name="標準 84 12 3" xfId="10202"/>
    <cellStyle name="標準 84 13" xfId="4534"/>
    <cellStyle name="標準 84 13 2" xfId="10291"/>
    <cellStyle name="標準 84 14" xfId="2160"/>
    <cellStyle name="標準 84 14 2" xfId="11606"/>
    <cellStyle name="標準 84 15" xfId="8982"/>
    <cellStyle name="標準 84 2" xfId="2466"/>
    <cellStyle name="標準 84 2 2" xfId="3012"/>
    <cellStyle name="標準 84 2 2 2" xfId="5285"/>
    <cellStyle name="標準 84 2 2 2 2" xfId="10897"/>
    <cellStyle name="標準 84 2 2 3" xfId="9588"/>
    <cellStyle name="標準 84 2 3" xfId="3583"/>
    <cellStyle name="標準 84 2 3 2" xfId="5856"/>
    <cellStyle name="標準 84 2 3 2 2" xfId="11071"/>
    <cellStyle name="標準 84 2 3 3" xfId="9762"/>
    <cellStyle name="標準 84 2 4" xfId="4147"/>
    <cellStyle name="標準 84 2 4 2" xfId="6420"/>
    <cellStyle name="標準 84 2 4 2 2" xfId="11245"/>
    <cellStyle name="標準 84 2 4 3" xfId="9936"/>
    <cellStyle name="標準 84 2 5" xfId="4746"/>
    <cellStyle name="標準 84 2 5 2" xfId="10365"/>
    <cellStyle name="標準 84 2 6" xfId="9056"/>
    <cellStyle name="標準 84 3" xfId="2560"/>
    <cellStyle name="標準 84 3 2" xfId="4838"/>
    <cellStyle name="標準 84 3 2 2" xfId="10455"/>
    <cellStyle name="標準 84 3 3" xfId="9146"/>
    <cellStyle name="標準 84 4" xfId="2650"/>
    <cellStyle name="標準 84 4 2" xfId="4928"/>
    <cellStyle name="標準 84 4 2 2" xfId="10544"/>
    <cellStyle name="標準 84 4 3" xfId="9235"/>
    <cellStyle name="標準 84 5" xfId="2745"/>
    <cellStyle name="標準 84 5 2" xfId="5018"/>
    <cellStyle name="標準 84 5 2 2" xfId="10633"/>
    <cellStyle name="標準 84 5 3" xfId="9324"/>
    <cellStyle name="標準 84 6" xfId="2835"/>
    <cellStyle name="標準 84 6 2" xfId="5108"/>
    <cellStyle name="標準 84 6 2 2" xfId="10722"/>
    <cellStyle name="標準 84 6 3" xfId="9413"/>
    <cellStyle name="標準 84 7" xfId="2924"/>
    <cellStyle name="標準 84 7 2" xfId="5197"/>
    <cellStyle name="標準 84 7 2 2" xfId="10809"/>
    <cellStyle name="標準 84 7 3" xfId="9500"/>
    <cellStyle name="標準 84 8" xfId="3353"/>
    <cellStyle name="標準 84 8 2" xfId="5626"/>
    <cellStyle name="標準 84 8 2 2" xfId="10983"/>
    <cellStyle name="標準 84 8 3" xfId="9674"/>
    <cellStyle name="標準 84 9" xfId="4054"/>
    <cellStyle name="標準 84 9 2" xfId="6327"/>
    <cellStyle name="標準 84 9 2 2" xfId="11157"/>
    <cellStyle name="標準 84 9 3" xfId="9848"/>
    <cellStyle name="標準 85" xfId="1864"/>
    <cellStyle name="標準 85 10" xfId="4259"/>
    <cellStyle name="標準 85 10 2" xfId="6532"/>
    <cellStyle name="標準 85 10 2 2" xfId="11336"/>
    <cellStyle name="標準 85 10 3" xfId="10027"/>
    <cellStyle name="標準 85 11" xfId="4351"/>
    <cellStyle name="標準 85 11 2" xfId="6624"/>
    <cellStyle name="標準 85 11 2 2" xfId="11425"/>
    <cellStyle name="標準 85 11 3" xfId="10116"/>
    <cellStyle name="標準 85 12" xfId="4441"/>
    <cellStyle name="標準 85 12 2" xfId="6714"/>
    <cellStyle name="標準 85 12 2 2" xfId="11514"/>
    <cellStyle name="標準 85 12 3" xfId="10205"/>
    <cellStyle name="標準 85 13" xfId="4537"/>
    <cellStyle name="標準 85 13 2" xfId="10294"/>
    <cellStyle name="標準 85 14" xfId="2163"/>
    <cellStyle name="標準 85 14 2" xfId="11609"/>
    <cellStyle name="標準 85 15" xfId="8985"/>
    <cellStyle name="標準 85 2" xfId="2469"/>
    <cellStyle name="標準 85 2 2" xfId="3015"/>
    <cellStyle name="標準 85 2 2 2" xfId="5288"/>
    <cellStyle name="標準 85 2 2 2 2" xfId="10900"/>
    <cellStyle name="標準 85 2 2 3" xfId="9591"/>
    <cellStyle name="標準 85 2 3" xfId="3586"/>
    <cellStyle name="標準 85 2 3 2" xfId="5859"/>
    <cellStyle name="標準 85 2 3 2 2" xfId="11074"/>
    <cellStyle name="標準 85 2 3 3" xfId="9765"/>
    <cellStyle name="標準 85 2 4" xfId="4150"/>
    <cellStyle name="標準 85 2 4 2" xfId="6423"/>
    <cellStyle name="標準 85 2 4 2 2" xfId="11248"/>
    <cellStyle name="標準 85 2 4 3" xfId="9939"/>
    <cellStyle name="標準 85 2 5" xfId="4749"/>
    <cellStyle name="標準 85 2 5 2" xfId="10368"/>
    <cellStyle name="標準 85 2 6" xfId="9059"/>
    <cellStyle name="標準 85 3" xfId="2563"/>
    <cellStyle name="標準 85 3 2" xfId="4841"/>
    <cellStyle name="標準 85 3 2 2" xfId="10458"/>
    <cellStyle name="標準 85 3 3" xfId="9149"/>
    <cellStyle name="標準 85 4" xfId="2653"/>
    <cellStyle name="標準 85 4 2" xfId="4931"/>
    <cellStyle name="標準 85 4 2 2" xfId="10547"/>
    <cellStyle name="標準 85 4 3" xfId="9238"/>
    <cellStyle name="標準 85 5" xfId="2748"/>
    <cellStyle name="標準 85 5 2" xfId="5021"/>
    <cellStyle name="標準 85 5 2 2" xfId="10636"/>
    <cellStyle name="標準 85 5 3" xfId="9327"/>
    <cellStyle name="標準 85 6" xfId="2838"/>
    <cellStyle name="標準 85 6 2" xfId="5111"/>
    <cellStyle name="標準 85 6 2 2" xfId="10725"/>
    <cellStyle name="標準 85 6 3" xfId="9416"/>
    <cellStyle name="標準 85 7" xfId="2927"/>
    <cellStyle name="標準 85 7 2" xfId="5200"/>
    <cellStyle name="標準 85 7 2 2" xfId="10812"/>
    <cellStyle name="標準 85 7 3" xfId="9503"/>
    <cellStyle name="標準 85 8" xfId="3356"/>
    <cellStyle name="標準 85 8 2" xfId="5629"/>
    <cellStyle name="標準 85 8 2 2" xfId="10986"/>
    <cellStyle name="標準 85 8 3" xfId="9677"/>
    <cellStyle name="標準 85 9" xfId="4057"/>
    <cellStyle name="標準 85 9 2" xfId="6330"/>
    <cellStyle name="標準 85 9 2 2" xfId="11160"/>
    <cellStyle name="標準 85 9 3" xfId="9851"/>
    <cellStyle name="標準 86" xfId="1865"/>
    <cellStyle name="標準 86 10" xfId="4258"/>
    <cellStyle name="標準 86 10 2" xfId="6531"/>
    <cellStyle name="標準 86 10 2 2" xfId="11335"/>
    <cellStyle name="標準 86 10 3" xfId="10026"/>
    <cellStyle name="標準 86 11" xfId="4350"/>
    <cellStyle name="標準 86 11 2" xfId="6623"/>
    <cellStyle name="標準 86 11 2 2" xfId="11424"/>
    <cellStyle name="標準 86 11 3" xfId="10115"/>
    <cellStyle name="標準 86 12" xfId="4440"/>
    <cellStyle name="標準 86 12 2" xfId="6713"/>
    <cellStyle name="標準 86 12 2 2" xfId="11513"/>
    <cellStyle name="標準 86 12 3" xfId="10204"/>
    <cellStyle name="標準 86 13" xfId="4536"/>
    <cellStyle name="標準 86 13 2" xfId="10293"/>
    <cellStyle name="標準 86 14" xfId="2162"/>
    <cellStyle name="標準 86 14 2" xfId="11608"/>
    <cellStyle name="標準 86 15" xfId="8984"/>
    <cellStyle name="標準 86 2" xfId="2468"/>
    <cellStyle name="標準 86 2 2" xfId="3014"/>
    <cellStyle name="標準 86 2 2 2" xfId="5287"/>
    <cellStyle name="標準 86 2 2 2 2" xfId="10899"/>
    <cellStyle name="標準 86 2 2 3" xfId="9590"/>
    <cellStyle name="標準 86 2 3" xfId="3585"/>
    <cellStyle name="標準 86 2 3 2" xfId="5858"/>
    <cellStyle name="標準 86 2 3 2 2" xfId="11073"/>
    <cellStyle name="標準 86 2 3 3" xfId="9764"/>
    <cellStyle name="標準 86 2 4" xfId="4149"/>
    <cellStyle name="標準 86 2 4 2" xfId="6422"/>
    <cellStyle name="標準 86 2 4 2 2" xfId="11247"/>
    <cellStyle name="標準 86 2 4 3" xfId="9938"/>
    <cellStyle name="標準 86 2 5" xfId="4748"/>
    <cellStyle name="標準 86 2 5 2" xfId="10367"/>
    <cellStyle name="標準 86 2 6" xfId="9058"/>
    <cellStyle name="標準 86 3" xfId="2562"/>
    <cellStyle name="標準 86 3 2" xfId="4840"/>
    <cellStyle name="標準 86 3 2 2" xfId="10457"/>
    <cellStyle name="標準 86 3 3" xfId="9148"/>
    <cellStyle name="標準 86 4" xfId="2652"/>
    <cellStyle name="標準 86 4 2" xfId="4930"/>
    <cellStyle name="標準 86 4 2 2" xfId="10546"/>
    <cellStyle name="標準 86 4 3" xfId="9237"/>
    <cellStyle name="標準 86 5" xfId="2747"/>
    <cellStyle name="標準 86 5 2" xfId="5020"/>
    <cellStyle name="標準 86 5 2 2" xfId="10635"/>
    <cellStyle name="標準 86 5 3" xfId="9326"/>
    <cellStyle name="標準 86 6" xfId="2837"/>
    <cellStyle name="標準 86 6 2" xfId="5110"/>
    <cellStyle name="標準 86 6 2 2" xfId="10724"/>
    <cellStyle name="標準 86 6 3" xfId="9415"/>
    <cellStyle name="標準 86 7" xfId="2926"/>
    <cellStyle name="標準 86 7 2" xfId="5199"/>
    <cellStyle name="標準 86 7 2 2" xfId="10811"/>
    <cellStyle name="標準 86 7 3" xfId="9502"/>
    <cellStyle name="標準 86 8" xfId="3355"/>
    <cellStyle name="標準 86 8 2" xfId="5628"/>
    <cellStyle name="標準 86 8 2 2" xfId="10985"/>
    <cellStyle name="標準 86 8 3" xfId="9676"/>
    <cellStyle name="標準 86 9" xfId="4056"/>
    <cellStyle name="標準 86 9 2" xfId="6329"/>
    <cellStyle name="標準 86 9 2 2" xfId="11159"/>
    <cellStyle name="標準 86 9 3" xfId="9850"/>
    <cellStyle name="標準 87" xfId="1866"/>
    <cellStyle name="標準 87 10" xfId="4266"/>
    <cellStyle name="標準 87 10 2" xfId="6539"/>
    <cellStyle name="標準 87 10 2 2" xfId="11343"/>
    <cellStyle name="標準 87 10 3" xfId="10034"/>
    <cellStyle name="標準 87 11" xfId="4358"/>
    <cellStyle name="標準 87 11 2" xfId="6631"/>
    <cellStyle name="標準 87 11 2 2" xfId="11432"/>
    <cellStyle name="標準 87 11 3" xfId="10123"/>
    <cellStyle name="標準 87 12" xfId="4448"/>
    <cellStyle name="標準 87 12 2" xfId="6721"/>
    <cellStyle name="標準 87 12 2 2" xfId="11521"/>
    <cellStyle name="標準 87 12 3" xfId="10212"/>
    <cellStyle name="標準 87 13" xfId="4544"/>
    <cellStyle name="標準 87 13 2" xfId="10301"/>
    <cellStyle name="標準 87 14" xfId="2170"/>
    <cellStyle name="標準 87 14 2" xfId="11616"/>
    <cellStyle name="標準 87 15" xfId="8992"/>
    <cellStyle name="標準 87 2" xfId="2476"/>
    <cellStyle name="標準 87 2 2" xfId="3022"/>
    <cellStyle name="標準 87 2 2 2" xfId="5295"/>
    <cellStyle name="標準 87 2 2 2 2" xfId="10907"/>
    <cellStyle name="標準 87 2 2 3" xfId="9598"/>
    <cellStyle name="標準 87 2 3" xfId="3593"/>
    <cellStyle name="標準 87 2 3 2" xfId="5866"/>
    <cellStyle name="標準 87 2 3 2 2" xfId="11081"/>
    <cellStyle name="標準 87 2 3 3" xfId="9772"/>
    <cellStyle name="標準 87 2 4" xfId="4157"/>
    <cellStyle name="標準 87 2 4 2" xfId="6430"/>
    <cellStyle name="標準 87 2 4 2 2" xfId="11255"/>
    <cellStyle name="標準 87 2 4 3" xfId="9946"/>
    <cellStyle name="標準 87 2 5" xfId="4756"/>
    <cellStyle name="標準 87 2 5 2" xfId="10375"/>
    <cellStyle name="標準 87 2 6" xfId="9066"/>
    <cellStyle name="標準 87 3" xfId="2570"/>
    <cellStyle name="標準 87 3 2" xfId="4848"/>
    <cellStyle name="標準 87 3 2 2" xfId="10465"/>
    <cellStyle name="標準 87 3 3" xfId="9156"/>
    <cellStyle name="標準 87 4" xfId="2660"/>
    <cellStyle name="標準 87 4 2" xfId="4938"/>
    <cellStyle name="標準 87 4 2 2" xfId="10554"/>
    <cellStyle name="標準 87 4 3" xfId="9245"/>
    <cellStyle name="標準 87 5" xfId="2755"/>
    <cellStyle name="標準 87 5 2" xfId="5028"/>
    <cellStyle name="標準 87 5 2 2" xfId="10643"/>
    <cellStyle name="標準 87 5 3" xfId="9334"/>
    <cellStyle name="標準 87 6" xfId="2845"/>
    <cellStyle name="標準 87 6 2" xfId="5118"/>
    <cellStyle name="標準 87 6 2 2" xfId="10732"/>
    <cellStyle name="標準 87 6 3" xfId="9423"/>
    <cellStyle name="標準 87 7" xfId="2934"/>
    <cellStyle name="標準 87 7 2" xfId="5207"/>
    <cellStyle name="標準 87 7 2 2" xfId="10819"/>
    <cellStyle name="標準 87 7 3" xfId="9510"/>
    <cellStyle name="標準 87 8" xfId="3363"/>
    <cellStyle name="標準 87 8 2" xfId="5636"/>
    <cellStyle name="標準 87 8 2 2" xfId="10993"/>
    <cellStyle name="標準 87 8 3" xfId="9684"/>
    <cellStyle name="標準 87 9" xfId="4064"/>
    <cellStyle name="標準 87 9 2" xfId="6337"/>
    <cellStyle name="標準 87 9 2 2" xfId="11167"/>
    <cellStyle name="標準 87 9 3" xfId="9858"/>
    <cellStyle name="標準 88" xfId="1867"/>
    <cellStyle name="標準 88 10" xfId="4267"/>
    <cellStyle name="標準 88 10 2" xfId="6540"/>
    <cellStyle name="標準 88 10 2 2" xfId="11344"/>
    <cellStyle name="標準 88 10 3" xfId="10035"/>
    <cellStyle name="標準 88 11" xfId="4359"/>
    <cellStyle name="標準 88 11 2" xfId="6632"/>
    <cellStyle name="標準 88 11 2 2" xfId="11433"/>
    <cellStyle name="標準 88 11 3" xfId="10124"/>
    <cellStyle name="標準 88 12" xfId="4449"/>
    <cellStyle name="標準 88 12 2" xfId="6722"/>
    <cellStyle name="標準 88 12 2 2" xfId="11522"/>
    <cellStyle name="標準 88 12 3" xfId="10213"/>
    <cellStyle name="標準 88 13" xfId="4545"/>
    <cellStyle name="標準 88 13 2" xfId="10302"/>
    <cellStyle name="標準 88 14" xfId="2171"/>
    <cellStyle name="標準 88 14 2" xfId="11617"/>
    <cellStyle name="標準 88 15" xfId="8993"/>
    <cellStyle name="標準 88 2" xfId="2477"/>
    <cellStyle name="標準 88 2 2" xfId="3023"/>
    <cellStyle name="標準 88 2 2 2" xfId="5296"/>
    <cellStyle name="標準 88 2 2 2 2" xfId="10908"/>
    <cellStyle name="標準 88 2 2 3" xfId="9599"/>
    <cellStyle name="標準 88 2 3" xfId="3594"/>
    <cellStyle name="標準 88 2 3 2" xfId="5867"/>
    <cellStyle name="標準 88 2 3 2 2" xfId="11082"/>
    <cellStyle name="標準 88 2 3 3" xfId="9773"/>
    <cellStyle name="標準 88 2 4" xfId="4158"/>
    <cellStyle name="標準 88 2 4 2" xfId="6431"/>
    <cellStyle name="標準 88 2 4 2 2" xfId="11256"/>
    <cellStyle name="標準 88 2 4 3" xfId="9947"/>
    <cellStyle name="標準 88 2 5" xfId="4757"/>
    <cellStyle name="標準 88 2 5 2" xfId="10376"/>
    <cellStyle name="標準 88 2 6" xfId="9067"/>
    <cellStyle name="標準 88 3" xfId="2571"/>
    <cellStyle name="標準 88 3 2" xfId="4849"/>
    <cellStyle name="標準 88 3 2 2" xfId="10466"/>
    <cellStyle name="標準 88 3 3" xfId="9157"/>
    <cellStyle name="標準 88 4" xfId="2661"/>
    <cellStyle name="標準 88 4 2" xfId="4939"/>
    <cellStyle name="標準 88 4 2 2" xfId="10555"/>
    <cellStyle name="標準 88 4 3" xfId="9246"/>
    <cellStyle name="標準 88 5" xfId="2756"/>
    <cellStyle name="標準 88 5 2" xfId="5029"/>
    <cellStyle name="標準 88 5 2 2" xfId="10644"/>
    <cellStyle name="標準 88 5 3" xfId="9335"/>
    <cellStyle name="標準 88 6" xfId="2846"/>
    <cellStyle name="標準 88 6 2" xfId="5119"/>
    <cellStyle name="標準 88 6 2 2" xfId="10733"/>
    <cellStyle name="標準 88 6 3" xfId="9424"/>
    <cellStyle name="標準 88 7" xfId="2935"/>
    <cellStyle name="標準 88 7 2" xfId="5208"/>
    <cellStyle name="標準 88 7 2 2" xfId="10820"/>
    <cellStyle name="標準 88 7 3" xfId="9511"/>
    <cellStyle name="標準 88 8" xfId="3364"/>
    <cellStyle name="標準 88 8 2" xfId="5637"/>
    <cellStyle name="標準 88 8 2 2" xfId="10994"/>
    <cellStyle name="標準 88 8 3" xfId="9685"/>
    <cellStyle name="標準 88 9" xfId="4065"/>
    <cellStyle name="標準 88 9 2" xfId="6338"/>
    <cellStyle name="標準 88 9 2 2" xfId="11168"/>
    <cellStyle name="標準 88 9 3" xfId="9859"/>
    <cellStyle name="標準 89" xfId="1868"/>
    <cellStyle name="標準 89 10" xfId="4269"/>
    <cellStyle name="標準 89 10 2" xfId="6542"/>
    <cellStyle name="標準 89 10 2 2" xfId="11346"/>
    <cellStyle name="標準 89 10 3" xfId="10037"/>
    <cellStyle name="標準 89 11" xfId="4361"/>
    <cellStyle name="標準 89 11 2" xfId="6634"/>
    <cellStyle name="標準 89 11 2 2" xfId="11435"/>
    <cellStyle name="標準 89 11 3" xfId="10126"/>
    <cellStyle name="標準 89 12" xfId="4451"/>
    <cellStyle name="標準 89 12 2" xfId="6724"/>
    <cellStyle name="標準 89 12 2 2" xfId="11524"/>
    <cellStyle name="標準 89 12 3" xfId="10215"/>
    <cellStyle name="標準 89 13" xfId="4547"/>
    <cellStyle name="標準 89 13 2" xfId="10304"/>
    <cellStyle name="標準 89 14" xfId="2173"/>
    <cellStyle name="標準 89 14 2" xfId="11619"/>
    <cellStyle name="標準 89 15" xfId="8995"/>
    <cellStyle name="標準 89 2" xfId="2479"/>
    <cellStyle name="標準 89 2 2" xfId="3025"/>
    <cellStyle name="標準 89 2 2 2" xfId="5298"/>
    <cellStyle name="標準 89 2 2 2 2" xfId="10910"/>
    <cellStyle name="標準 89 2 2 3" xfId="9601"/>
    <cellStyle name="標準 89 2 3" xfId="3596"/>
    <cellStyle name="標準 89 2 3 2" xfId="5869"/>
    <cellStyle name="標準 89 2 3 2 2" xfId="11084"/>
    <cellStyle name="標準 89 2 3 3" xfId="9775"/>
    <cellStyle name="標準 89 2 4" xfId="4160"/>
    <cellStyle name="標準 89 2 4 2" xfId="6433"/>
    <cellStyle name="標準 89 2 4 2 2" xfId="11258"/>
    <cellStyle name="標準 89 2 4 3" xfId="9949"/>
    <cellStyle name="標準 89 2 5" xfId="4759"/>
    <cellStyle name="標準 89 2 5 2" xfId="10378"/>
    <cellStyle name="標準 89 2 6" xfId="9069"/>
    <cellStyle name="標準 89 3" xfId="2573"/>
    <cellStyle name="標準 89 3 2" xfId="4851"/>
    <cellStyle name="標準 89 3 2 2" xfId="10468"/>
    <cellStyle name="標準 89 3 3" xfId="9159"/>
    <cellStyle name="標準 89 4" xfId="2663"/>
    <cellStyle name="標準 89 4 2" xfId="4941"/>
    <cellStyle name="標準 89 4 2 2" xfId="10557"/>
    <cellStyle name="標準 89 4 3" xfId="9248"/>
    <cellStyle name="標準 89 5" xfId="2758"/>
    <cellStyle name="標準 89 5 2" xfId="5031"/>
    <cellStyle name="標準 89 5 2 2" xfId="10646"/>
    <cellStyle name="標準 89 5 3" xfId="9337"/>
    <cellStyle name="標準 89 6" xfId="2848"/>
    <cellStyle name="標準 89 6 2" xfId="5121"/>
    <cellStyle name="標準 89 6 2 2" xfId="10735"/>
    <cellStyle name="標準 89 6 3" xfId="9426"/>
    <cellStyle name="標準 89 7" xfId="2937"/>
    <cellStyle name="標準 89 7 2" xfId="5210"/>
    <cellStyle name="標準 89 7 2 2" xfId="10822"/>
    <cellStyle name="標準 89 7 3" xfId="9513"/>
    <cellStyle name="標準 89 8" xfId="3366"/>
    <cellStyle name="標準 89 8 2" xfId="5639"/>
    <cellStyle name="標準 89 8 2 2" xfId="10996"/>
    <cellStyle name="標準 89 8 3" xfId="9687"/>
    <cellStyle name="標準 89 9" xfId="4067"/>
    <cellStyle name="標準 89 9 2" xfId="6340"/>
    <cellStyle name="標準 89 9 2 2" xfId="11170"/>
    <cellStyle name="標準 89 9 3" xfId="9861"/>
    <cellStyle name="標準 9" xfId="1869"/>
    <cellStyle name="標準 9 10" xfId="1870"/>
    <cellStyle name="標準 9 10 2" xfId="1871"/>
    <cellStyle name="標準 9 11" xfId="1872"/>
    <cellStyle name="標準 9 12" xfId="6842"/>
    <cellStyle name="標準 9 2" xfId="1873"/>
    <cellStyle name="標準 9 2 2" xfId="1874"/>
    <cellStyle name="標準 9 2 2 2" xfId="1875"/>
    <cellStyle name="標準 9 2 2 2 2" xfId="1876"/>
    <cellStyle name="標準 9 2 2 3" xfId="1877"/>
    <cellStyle name="標準 9 2 3" xfId="1878"/>
    <cellStyle name="標準 9 2 3 2" xfId="1879"/>
    <cellStyle name="標準 9 2 4" xfId="1880"/>
    <cellStyle name="標準 9 2 5" xfId="2732"/>
    <cellStyle name="標準 9 2 5 2" xfId="6843"/>
    <cellStyle name="標準 9 3" xfId="1881"/>
    <cellStyle name="標準 9 3 2" xfId="1882"/>
    <cellStyle name="標準 9 3 2 2" xfId="1883"/>
    <cellStyle name="標準 9 3 2 2 2" xfId="1884"/>
    <cellStyle name="標準 9 3 2 3" xfId="1885"/>
    <cellStyle name="標準 9 3 3" xfId="1886"/>
    <cellStyle name="標準 9 3 3 2" xfId="1887"/>
    <cellStyle name="標準 9 3 4" xfId="1888"/>
    <cellStyle name="標準 9 3 5" xfId="1889"/>
    <cellStyle name="標準 9 3 5 2" xfId="6844"/>
    <cellStyle name="標準 9 4" xfId="1890"/>
    <cellStyle name="標準 9 4 2" xfId="1891"/>
    <cellStyle name="標準 9 4 2 2" xfId="1892"/>
    <cellStyle name="標準 9 4 2 2 2" xfId="1893"/>
    <cellStyle name="標準 9 4 2 3" xfId="1894"/>
    <cellStyle name="標準 9 4 2 4" xfId="1895"/>
    <cellStyle name="標準 9 4 2 4 2" xfId="6845"/>
    <cellStyle name="標準 9 4 3" xfId="1896"/>
    <cellStyle name="標準 9 4 3 2" xfId="1897"/>
    <cellStyle name="標準 9 4 4" xfId="1898"/>
    <cellStyle name="標準 9 4 5" xfId="2731"/>
    <cellStyle name="標準 9 5" xfId="1899"/>
    <cellStyle name="標準 9 5 2" xfId="1900"/>
    <cellStyle name="標準 9 5 2 2" xfId="1901"/>
    <cellStyle name="標準 9 5 3" xfId="1902"/>
    <cellStyle name="標準 9 6" xfId="1903"/>
    <cellStyle name="標準 9 6 2" xfId="1904"/>
    <cellStyle name="標準 9 6 2 2" xfId="1905"/>
    <cellStyle name="標準 9 6 3" xfId="1906"/>
    <cellStyle name="標準 9 7" xfId="1907"/>
    <cellStyle name="標準 9 7 2" xfId="1908"/>
    <cellStyle name="標準 9 7 2 2" xfId="1909"/>
    <cellStyle name="標準 9 7 3" xfId="1910"/>
    <cellStyle name="標準 9 8" xfId="1911"/>
    <cellStyle name="標準 9 8 2" xfId="1912"/>
    <cellStyle name="標準 9 8 2 2" xfId="1913"/>
    <cellStyle name="標準 9 8 3" xfId="1914"/>
    <cellStyle name="標準 9 9" xfId="1915"/>
    <cellStyle name="標準 9 9 2" xfId="1916"/>
    <cellStyle name="標準 9_受渡ファイル一覧（調査用）" xfId="1917"/>
    <cellStyle name="標準 90" xfId="1918"/>
    <cellStyle name="標準 90 10" xfId="4272"/>
    <cellStyle name="標準 90 10 2" xfId="6545"/>
    <cellStyle name="標準 90 10 2 2" xfId="11349"/>
    <cellStyle name="標準 90 10 3" xfId="10040"/>
    <cellStyle name="標準 90 11" xfId="4364"/>
    <cellStyle name="標準 90 11 2" xfId="6637"/>
    <cellStyle name="標準 90 11 2 2" xfId="11438"/>
    <cellStyle name="標準 90 11 3" xfId="10129"/>
    <cellStyle name="標準 90 12" xfId="4454"/>
    <cellStyle name="標準 90 12 2" xfId="6727"/>
    <cellStyle name="標準 90 12 2 2" xfId="11527"/>
    <cellStyle name="標準 90 12 3" xfId="10218"/>
    <cellStyle name="標準 90 13" xfId="4550"/>
    <cellStyle name="標準 90 13 2" xfId="10307"/>
    <cellStyle name="標準 90 14" xfId="2176"/>
    <cellStyle name="標準 90 14 2" xfId="11622"/>
    <cellStyle name="標準 90 15" xfId="8998"/>
    <cellStyle name="標準 90 2" xfId="2482"/>
    <cellStyle name="標準 90 2 2" xfId="3028"/>
    <cellStyle name="標準 90 2 2 2" xfId="5301"/>
    <cellStyle name="標準 90 2 2 2 2" xfId="10913"/>
    <cellStyle name="標準 90 2 2 3" xfId="9604"/>
    <cellStyle name="標準 90 2 3" xfId="3599"/>
    <cellStyle name="標準 90 2 3 2" xfId="5872"/>
    <cellStyle name="標準 90 2 3 2 2" xfId="11087"/>
    <cellStyle name="標準 90 2 3 3" xfId="9778"/>
    <cellStyle name="標準 90 2 4" xfId="4163"/>
    <cellStyle name="標準 90 2 4 2" xfId="6436"/>
    <cellStyle name="標準 90 2 4 2 2" xfId="11261"/>
    <cellStyle name="標準 90 2 4 3" xfId="9952"/>
    <cellStyle name="標準 90 2 5" xfId="4762"/>
    <cellStyle name="標準 90 2 5 2" xfId="10381"/>
    <cellStyle name="標準 90 2 6" xfId="9072"/>
    <cellStyle name="標準 90 3" xfId="2576"/>
    <cellStyle name="標準 90 3 2" xfId="4854"/>
    <cellStyle name="標準 90 3 2 2" xfId="10471"/>
    <cellStyle name="標準 90 3 3" xfId="9162"/>
    <cellStyle name="標準 90 4" xfId="2666"/>
    <cellStyle name="標準 90 4 2" xfId="4944"/>
    <cellStyle name="標準 90 4 2 2" xfId="10560"/>
    <cellStyle name="標準 90 4 3" xfId="9251"/>
    <cellStyle name="標準 90 5" xfId="2761"/>
    <cellStyle name="標準 90 5 2" xfId="5034"/>
    <cellStyle name="標準 90 5 2 2" xfId="10649"/>
    <cellStyle name="標準 90 5 3" xfId="9340"/>
    <cellStyle name="標準 90 6" xfId="2851"/>
    <cellStyle name="標準 90 6 2" xfId="5124"/>
    <cellStyle name="標準 90 6 2 2" xfId="10738"/>
    <cellStyle name="標準 90 6 3" xfId="9429"/>
    <cellStyle name="標準 90 7" xfId="2940"/>
    <cellStyle name="標準 90 7 2" xfId="5213"/>
    <cellStyle name="標準 90 7 2 2" xfId="10825"/>
    <cellStyle name="標準 90 7 3" xfId="9516"/>
    <cellStyle name="標準 90 8" xfId="3369"/>
    <cellStyle name="標準 90 8 2" xfId="5642"/>
    <cellStyle name="標準 90 8 2 2" xfId="10999"/>
    <cellStyle name="標準 90 8 3" xfId="9690"/>
    <cellStyle name="標準 90 9" xfId="4070"/>
    <cellStyle name="標準 90 9 2" xfId="6343"/>
    <cellStyle name="標準 90 9 2 2" xfId="11173"/>
    <cellStyle name="標準 90 9 3" xfId="9864"/>
    <cellStyle name="標準 91" xfId="1919"/>
    <cellStyle name="標準 91 10" xfId="4276"/>
    <cellStyle name="標準 91 10 2" xfId="6549"/>
    <cellStyle name="標準 91 10 2 2" xfId="11353"/>
    <cellStyle name="標準 91 10 3" xfId="10044"/>
    <cellStyle name="標準 91 11" xfId="4368"/>
    <cellStyle name="標準 91 11 2" xfId="6641"/>
    <cellStyle name="標準 91 11 2 2" xfId="11442"/>
    <cellStyle name="標準 91 11 3" xfId="10133"/>
    <cellStyle name="標準 91 12" xfId="4458"/>
    <cellStyle name="標準 91 12 2" xfId="6731"/>
    <cellStyle name="標準 91 12 2 2" xfId="11531"/>
    <cellStyle name="標準 91 12 3" xfId="10222"/>
    <cellStyle name="標準 91 13" xfId="4554"/>
    <cellStyle name="標準 91 13 2" xfId="10311"/>
    <cellStyle name="標準 91 14" xfId="2180"/>
    <cellStyle name="標準 91 14 2" xfId="11626"/>
    <cellStyle name="標準 91 15" xfId="9002"/>
    <cellStyle name="標準 91 16" xfId="1920"/>
    <cellStyle name="標準 91 16 2" xfId="11566"/>
    <cellStyle name="標準 91 2" xfId="2486"/>
    <cellStyle name="標準 91 2 2" xfId="3032"/>
    <cellStyle name="標準 91 2 2 2" xfId="5305"/>
    <cellStyle name="標準 91 2 2 2 2" xfId="10917"/>
    <cellStyle name="標準 91 2 2 3" xfId="9608"/>
    <cellStyle name="標準 91 2 3" xfId="3603"/>
    <cellStyle name="標準 91 2 3 2" xfId="5876"/>
    <cellStyle name="標準 91 2 3 2 2" xfId="11091"/>
    <cellStyle name="標準 91 2 3 3" xfId="9782"/>
    <cellStyle name="標準 91 2 4" xfId="4167"/>
    <cellStyle name="標準 91 2 4 2" xfId="6440"/>
    <cellStyle name="標準 91 2 4 2 2" xfId="11265"/>
    <cellStyle name="標準 91 2 4 3" xfId="9956"/>
    <cellStyle name="標準 91 2 5" xfId="4766"/>
    <cellStyle name="標準 91 2 5 2" xfId="10385"/>
    <cellStyle name="標準 91 2 6" xfId="9076"/>
    <cellStyle name="標準 91 3" xfId="2580"/>
    <cellStyle name="標準 91 3 2" xfId="4858"/>
    <cellStyle name="標準 91 3 2 2" xfId="10475"/>
    <cellStyle name="標準 91 3 3" xfId="9166"/>
    <cellStyle name="標準 91 4" xfId="2670"/>
    <cellStyle name="標準 91 4 2" xfId="4948"/>
    <cellStyle name="標準 91 4 2 2" xfId="10564"/>
    <cellStyle name="標準 91 4 3" xfId="9255"/>
    <cellStyle name="標準 91 5" xfId="2765"/>
    <cellStyle name="標準 91 5 2" xfId="5038"/>
    <cellStyle name="標準 91 5 2 2" xfId="10653"/>
    <cellStyle name="標準 91 5 3" xfId="9344"/>
    <cellStyle name="標準 91 6" xfId="2855"/>
    <cellStyle name="標準 91 6 2" xfId="5128"/>
    <cellStyle name="標準 91 6 2 2" xfId="10742"/>
    <cellStyle name="標準 91 6 3" xfId="9433"/>
    <cellStyle name="標準 91 7" xfId="2944"/>
    <cellStyle name="標準 91 7 2" xfId="5217"/>
    <cellStyle name="標準 91 7 2 2" xfId="10829"/>
    <cellStyle name="標準 91 7 3" xfId="9520"/>
    <cellStyle name="標準 91 8" xfId="3373"/>
    <cellStyle name="標準 91 8 2" xfId="5646"/>
    <cellStyle name="標準 91 8 2 2" xfId="11003"/>
    <cellStyle name="標準 91 8 3" xfId="9694"/>
    <cellStyle name="標準 91 9" xfId="4074"/>
    <cellStyle name="標準 91 9 2" xfId="6347"/>
    <cellStyle name="標準 91 9 2 2" xfId="11177"/>
    <cellStyle name="標準 91 9 3" xfId="9868"/>
    <cellStyle name="標準 92" xfId="1921"/>
    <cellStyle name="標準 92 10" xfId="4274"/>
    <cellStyle name="標準 92 10 2" xfId="6547"/>
    <cellStyle name="標準 92 10 2 2" xfId="11351"/>
    <cellStyle name="標準 92 10 3" xfId="10042"/>
    <cellStyle name="標準 92 11" xfId="4366"/>
    <cellStyle name="標準 92 11 2" xfId="6639"/>
    <cellStyle name="標準 92 11 2 2" xfId="11440"/>
    <cellStyle name="標準 92 11 3" xfId="10131"/>
    <cellStyle name="標準 92 12" xfId="4456"/>
    <cellStyle name="標準 92 12 2" xfId="6729"/>
    <cellStyle name="標準 92 12 2 2" xfId="11529"/>
    <cellStyle name="標準 92 12 3" xfId="10220"/>
    <cellStyle name="標準 92 13" xfId="4552"/>
    <cellStyle name="標準 92 13 2" xfId="10309"/>
    <cellStyle name="標準 92 14" xfId="2178"/>
    <cellStyle name="標準 92 14 2" xfId="11624"/>
    <cellStyle name="標準 92 15" xfId="9000"/>
    <cellStyle name="標準 92 2" xfId="2484"/>
    <cellStyle name="標準 92 2 2" xfId="3030"/>
    <cellStyle name="標準 92 2 2 2" xfId="5303"/>
    <cellStyle name="標準 92 2 2 2 2" xfId="10915"/>
    <cellStyle name="標準 92 2 2 3" xfId="9606"/>
    <cellStyle name="標準 92 2 3" xfId="3601"/>
    <cellStyle name="標準 92 2 3 2" xfId="5874"/>
    <cellStyle name="標準 92 2 3 2 2" xfId="11089"/>
    <cellStyle name="標準 92 2 3 3" xfId="9780"/>
    <cellStyle name="標準 92 2 4" xfId="4165"/>
    <cellStyle name="標準 92 2 4 2" xfId="6438"/>
    <cellStyle name="標準 92 2 4 2 2" xfId="11263"/>
    <cellStyle name="標準 92 2 4 3" xfId="9954"/>
    <cellStyle name="標準 92 2 5" xfId="4764"/>
    <cellStyle name="標準 92 2 5 2" xfId="10383"/>
    <cellStyle name="標準 92 2 6" xfId="9074"/>
    <cellStyle name="標準 92 3" xfId="2578"/>
    <cellStyle name="標準 92 3 2" xfId="4856"/>
    <cellStyle name="標準 92 3 2 2" xfId="10473"/>
    <cellStyle name="標準 92 3 3" xfId="9164"/>
    <cellStyle name="標準 92 4" xfId="2668"/>
    <cellStyle name="標準 92 4 2" xfId="4946"/>
    <cellStyle name="標準 92 4 2 2" xfId="10562"/>
    <cellStyle name="標準 92 4 3" xfId="9253"/>
    <cellStyle name="標準 92 5" xfId="2763"/>
    <cellStyle name="標準 92 5 2" xfId="5036"/>
    <cellStyle name="標準 92 5 2 2" xfId="10651"/>
    <cellStyle name="標準 92 5 3" xfId="9342"/>
    <cellStyle name="標準 92 6" xfId="2853"/>
    <cellStyle name="標準 92 6 2" xfId="5126"/>
    <cellStyle name="標準 92 6 2 2" xfId="10740"/>
    <cellStyle name="標準 92 6 3" xfId="9431"/>
    <cellStyle name="標準 92 7" xfId="2942"/>
    <cellStyle name="標準 92 7 2" xfId="5215"/>
    <cellStyle name="標準 92 7 2 2" xfId="10827"/>
    <cellStyle name="標準 92 7 3" xfId="9518"/>
    <cellStyle name="標準 92 8" xfId="3371"/>
    <cellStyle name="標準 92 8 2" xfId="5644"/>
    <cellStyle name="標準 92 8 2 2" xfId="11001"/>
    <cellStyle name="標準 92 8 3" xfId="9692"/>
    <cellStyle name="標準 92 9" xfId="4072"/>
    <cellStyle name="標準 92 9 2" xfId="6345"/>
    <cellStyle name="標準 92 9 2 2" xfId="11175"/>
    <cellStyle name="標準 92 9 3" xfId="9866"/>
    <cellStyle name="標準 93" xfId="1922"/>
    <cellStyle name="標準 93 10" xfId="4279"/>
    <cellStyle name="標準 93 10 2" xfId="6552"/>
    <cellStyle name="標準 93 10 2 2" xfId="11356"/>
    <cellStyle name="標準 93 10 3" xfId="10047"/>
    <cellStyle name="標準 93 11" xfId="4371"/>
    <cellStyle name="標準 93 11 2" xfId="6644"/>
    <cellStyle name="標準 93 11 2 2" xfId="11445"/>
    <cellStyle name="標準 93 11 3" xfId="10136"/>
    <cellStyle name="標準 93 12" xfId="4461"/>
    <cellStyle name="標準 93 12 2" xfId="6734"/>
    <cellStyle name="標準 93 12 2 2" xfId="11534"/>
    <cellStyle name="標準 93 12 3" xfId="10225"/>
    <cellStyle name="標準 93 13" xfId="4557"/>
    <cellStyle name="標準 93 13 2" xfId="10314"/>
    <cellStyle name="標準 93 14" xfId="2183"/>
    <cellStyle name="標準 93 14 2" xfId="11629"/>
    <cellStyle name="標準 93 15" xfId="9005"/>
    <cellStyle name="標準 93 2" xfId="2489"/>
    <cellStyle name="標準 93 2 2" xfId="3035"/>
    <cellStyle name="標準 93 2 2 2" xfId="5308"/>
    <cellStyle name="標準 93 2 2 2 2" xfId="10920"/>
    <cellStyle name="標準 93 2 2 3" xfId="9611"/>
    <cellStyle name="標準 93 2 3" xfId="3606"/>
    <cellStyle name="標準 93 2 3 2" xfId="5879"/>
    <cellStyle name="標準 93 2 3 2 2" xfId="11094"/>
    <cellStyle name="標準 93 2 3 3" xfId="9785"/>
    <cellStyle name="標準 93 2 4" xfId="4170"/>
    <cellStyle name="標準 93 2 4 2" xfId="6443"/>
    <cellStyle name="標準 93 2 4 2 2" xfId="11268"/>
    <cellStyle name="標準 93 2 4 3" xfId="9959"/>
    <cellStyle name="標準 93 2 5" xfId="4769"/>
    <cellStyle name="標準 93 2 5 2" xfId="10388"/>
    <cellStyle name="標準 93 2 6" xfId="9079"/>
    <cellStyle name="標準 93 3" xfId="2583"/>
    <cellStyle name="標準 93 3 2" xfId="4861"/>
    <cellStyle name="標準 93 3 2 2" xfId="10478"/>
    <cellStyle name="標準 93 3 3" xfId="9169"/>
    <cellStyle name="標準 93 4" xfId="2673"/>
    <cellStyle name="標準 93 4 2" xfId="4951"/>
    <cellStyle name="標準 93 4 2 2" xfId="10567"/>
    <cellStyle name="標準 93 4 3" xfId="9258"/>
    <cellStyle name="標準 93 5" xfId="2768"/>
    <cellStyle name="標準 93 5 2" xfId="5041"/>
    <cellStyle name="標準 93 5 2 2" xfId="10656"/>
    <cellStyle name="標準 93 5 3" xfId="9347"/>
    <cellStyle name="標準 93 6" xfId="2858"/>
    <cellStyle name="標準 93 6 2" xfId="5131"/>
    <cellStyle name="標準 93 6 2 2" xfId="10745"/>
    <cellStyle name="標準 93 6 3" xfId="9436"/>
    <cellStyle name="標準 93 7" xfId="2947"/>
    <cellStyle name="標準 93 7 2" xfId="5220"/>
    <cellStyle name="標準 93 7 2 2" xfId="10832"/>
    <cellStyle name="標準 93 7 3" xfId="9523"/>
    <cellStyle name="標準 93 8" xfId="3376"/>
    <cellStyle name="標準 93 8 2" xfId="5649"/>
    <cellStyle name="標準 93 8 2 2" xfId="11006"/>
    <cellStyle name="標準 93 8 3" xfId="9697"/>
    <cellStyle name="標準 93 9" xfId="4077"/>
    <cellStyle name="標準 93 9 2" xfId="6350"/>
    <cellStyle name="標準 93 9 2 2" xfId="11180"/>
    <cellStyle name="標準 93 9 3" xfId="9871"/>
    <cellStyle name="標準 94" xfId="1923"/>
    <cellStyle name="標準 94 10" xfId="4275"/>
    <cellStyle name="標準 94 10 2" xfId="6548"/>
    <cellStyle name="標準 94 10 2 2" xfId="11352"/>
    <cellStyle name="標準 94 10 3" xfId="10043"/>
    <cellStyle name="標準 94 11" xfId="4367"/>
    <cellStyle name="標準 94 11 2" xfId="6640"/>
    <cellStyle name="標準 94 11 2 2" xfId="11441"/>
    <cellStyle name="標準 94 11 3" xfId="10132"/>
    <cellStyle name="標準 94 12" xfId="4457"/>
    <cellStyle name="標準 94 12 2" xfId="6730"/>
    <cellStyle name="標準 94 12 2 2" xfId="11530"/>
    <cellStyle name="標準 94 12 3" xfId="10221"/>
    <cellStyle name="標準 94 13" xfId="4553"/>
    <cellStyle name="標準 94 13 2" xfId="10310"/>
    <cellStyle name="標準 94 14" xfId="2179"/>
    <cellStyle name="標準 94 14 2" xfId="11625"/>
    <cellStyle name="標準 94 15" xfId="9001"/>
    <cellStyle name="標準 94 2" xfId="2485"/>
    <cellStyle name="標準 94 2 2" xfId="3031"/>
    <cellStyle name="標準 94 2 2 2" xfId="5304"/>
    <cellStyle name="標準 94 2 2 2 2" xfId="10916"/>
    <cellStyle name="標準 94 2 2 3" xfId="9607"/>
    <cellStyle name="標準 94 2 3" xfId="3602"/>
    <cellStyle name="標準 94 2 3 2" xfId="5875"/>
    <cellStyle name="標準 94 2 3 2 2" xfId="11090"/>
    <cellStyle name="標準 94 2 3 3" xfId="9781"/>
    <cellStyle name="標準 94 2 4" xfId="4166"/>
    <cellStyle name="標準 94 2 4 2" xfId="6439"/>
    <cellStyle name="標準 94 2 4 2 2" xfId="11264"/>
    <cellStyle name="標準 94 2 4 3" xfId="9955"/>
    <cellStyle name="標準 94 2 5" xfId="4765"/>
    <cellStyle name="標準 94 2 5 2" xfId="10384"/>
    <cellStyle name="標準 94 2 6" xfId="9075"/>
    <cellStyle name="標準 94 3" xfId="2579"/>
    <cellStyle name="標準 94 3 2" xfId="4857"/>
    <cellStyle name="標準 94 3 2 2" xfId="10474"/>
    <cellStyle name="標準 94 3 3" xfId="9165"/>
    <cellStyle name="標準 94 4" xfId="2669"/>
    <cellStyle name="標準 94 4 2" xfId="4947"/>
    <cellStyle name="標準 94 4 2 2" xfId="10563"/>
    <cellStyle name="標準 94 4 3" xfId="9254"/>
    <cellStyle name="標準 94 5" xfId="2764"/>
    <cellStyle name="標準 94 5 2" xfId="5037"/>
    <cellStyle name="標準 94 5 2 2" xfId="10652"/>
    <cellStyle name="標準 94 5 3" xfId="9343"/>
    <cellStyle name="標準 94 6" xfId="2854"/>
    <cellStyle name="標準 94 6 2" xfId="5127"/>
    <cellStyle name="標準 94 6 2 2" xfId="10741"/>
    <cellStyle name="標準 94 6 3" xfId="9432"/>
    <cellStyle name="標準 94 7" xfId="2943"/>
    <cellStyle name="標準 94 7 2" xfId="5216"/>
    <cellStyle name="標準 94 7 2 2" xfId="10828"/>
    <cellStyle name="標準 94 7 3" xfId="9519"/>
    <cellStyle name="標準 94 8" xfId="3372"/>
    <cellStyle name="標準 94 8 2" xfId="5645"/>
    <cellStyle name="標準 94 8 2 2" xfId="11002"/>
    <cellStyle name="標準 94 8 3" xfId="9693"/>
    <cellStyle name="標準 94 9" xfId="4073"/>
    <cellStyle name="標準 94 9 2" xfId="6346"/>
    <cellStyle name="標準 94 9 2 2" xfId="11176"/>
    <cellStyle name="標準 94 9 3" xfId="9867"/>
    <cellStyle name="標準 95" xfId="1924"/>
    <cellStyle name="標準 95 10" xfId="4280"/>
    <cellStyle name="標準 95 10 2" xfId="6553"/>
    <cellStyle name="標準 95 10 2 2" xfId="11357"/>
    <cellStyle name="標準 95 10 3" xfId="10048"/>
    <cellStyle name="標準 95 11" xfId="4372"/>
    <cellStyle name="標準 95 11 2" xfId="6645"/>
    <cellStyle name="標準 95 11 2 2" xfId="11446"/>
    <cellStyle name="標準 95 11 3" xfId="10137"/>
    <cellStyle name="標準 95 12" xfId="4462"/>
    <cellStyle name="標準 95 12 2" xfId="6735"/>
    <cellStyle name="標準 95 12 2 2" xfId="11535"/>
    <cellStyle name="標準 95 12 3" xfId="10226"/>
    <cellStyle name="標準 95 13" xfId="4558"/>
    <cellStyle name="標準 95 13 2" xfId="10315"/>
    <cellStyle name="標準 95 14" xfId="2184"/>
    <cellStyle name="標準 95 14 2" xfId="11630"/>
    <cellStyle name="標準 95 15" xfId="9006"/>
    <cellStyle name="標準 95 2" xfId="2490"/>
    <cellStyle name="標準 95 2 2" xfId="3036"/>
    <cellStyle name="標準 95 2 2 2" xfId="5309"/>
    <cellStyle name="標準 95 2 2 2 2" xfId="10921"/>
    <cellStyle name="標準 95 2 2 3" xfId="9612"/>
    <cellStyle name="標準 95 2 3" xfId="3608"/>
    <cellStyle name="標準 95 2 3 2" xfId="5881"/>
    <cellStyle name="標準 95 2 3 2 2" xfId="11095"/>
    <cellStyle name="標準 95 2 3 3" xfId="9786"/>
    <cellStyle name="標準 95 2 4" xfId="4171"/>
    <cellStyle name="標準 95 2 4 2" xfId="6444"/>
    <cellStyle name="標準 95 2 4 2 2" xfId="11269"/>
    <cellStyle name="標準 95 2 4 3" xfId="9960"/>
    <cellStyle name="標準 95 2 5" xfId="4770"/>
    <cellStyle name="標準 95 2 5 2" xfId="10389"/>
    <cellStyle name="標準 95 2 6" xfId="9080"/>
    <cellStyle name="標準 95 3" xfId="2584"/>
    <cellStyle name="標準 95 3 2" xfId="4862"/>
    <cellStyle name="標準 95 3 2 2" xfId="10479"/>
    <cellStyle name="標準 95 3 3" xfId="9170"/>
    <cellStyle name="標準 95 4" xfId="2674"/>
    <cellStyle name="標準 95 4 2" xfId="4952"/>
    <cellStyle name="標準 95 4 2 2" xfId="10568"/>
    <cellStyle name="標準 95 4 3" xfId="9259"/>
    <cellStyle name="標準 95 5" xfId="2769"/>
    <cellStyle name="標準 95 5 2" xfId="5042"/>
    <cellStyle name="標準 95 5 2 2" xfId="10657"/>
    <cellStyle name="標準 95 5 3" xfId="9348"/>
    <cellStyle name="標準 95 6" xfId="2859"/>
    <cellStyle name="標準 95 6 2" xfId="5132"/>
    <cellStyle name="標準 95 6 2 2" xfId="10746"/>
    <cellStyle name="標準 95 6 3" xfId="9437"/>
    <cellStyle name="標準 95 7" xfId="2948"/>
    <cellStyle name="標準 95 7 2" xfId="5221"/>
    <cellStyle name="標準 95 7 2 2" xfId="10833"/>
    <cellStyle name="標準 95 7 3" xfId="9524"/>
    <cellStyle name="標準 95 8" xfId="3379"/>
    <cellStyle name="標準 95 8 2" xfId="5652"/>
    <cellStyle name="標準 95 8 2 2" xfId="11007"/>
    <cellStyle name="標準 95 8 3" xfId="9698"/>
    <cellStyle name="標準 95 9" xfId="4078"/>
    <cellStyle name="標準 95 9 2" xfId="6351"/>
    <cellStyle name="標準 95 9 2 2" xfId="11181"/>
    <cellStyle name="標準 95 9 3" xfId="9872"/>
    <cellStyle name="標準 96" xfId="1925"/>
    <cellStyle name="標準 96 10" xfId="4283"/>
    <cellStyle name="標準 96 10 2" xfId="6556"/>
    <cellStyle name="標準 96 10 2 2" xfId="11360"/>
    <cellStyle name="標準 96 10 3" xfId="10051"/>
    <cellStyle name="標準 96 11" xfId="4375"/>
    <cellStyle name="標準 96 11 2" xfId="6648"/>
    <cellStyle name="標準 96 11 2 2" xfId="11449"/>
    <cellStyle name="標準 96 11 3" xfId="10140"/>
    <cellStyle name="標準 96 12" xfId="4465"/>
    <cellStyle name="標準 96 12 2" xfId="6738"/>
    <cellStyle name="標準 96 12 2 2" xfId="11538"/>
    <cellStyle name="標準 96 12 3" xfId="10229"/>
    <cellStyle name="標準 96 13" xfId="4561"/>
    <cellStyle name="標準 96 13 2" xfId="10318"/>
    <cellStyle name="標準 96 14" xfId="2187"/>
    <cellStyle name="標準 96 14 2" xfId="11633"/>
    <cellStyle name="標準 96 15" xfId="9009"/>
    <cellStyle name="標準 96 2" xfId="2493"/>
    <cellStyle name="標準 96 2 2" xfId="3039"/>
    <cellStyle name="標準 96 2 2 2" xfId="5312"/>
    <cellStyle name="標準 96 2 2 2 2" xfId="10924"/>
    <cellStyle name="標準 96 2 2 3" xfId="9615"/>
    <cellStyle name="標準 96 2 3" xfId="3611"/>
    <cellStyle name="標準 96 2 3 2" xfId="5884"/>
    <cellStyle name="標準 96 2 3 2 2" xfId="11098"/>
    <cellStyle name="標準 96 2 3 3" xfId="9789"/>
    <cellStyle name="標準 96 2 4" xfId="4174"/>
    <cellStyle name="標準 96 2 4 2" xfId="6447"/>
    <cellStyle name="標準 96 2 4 2 2" xfId="11272"/>
    <cellStyle name="標準 96 2 4 3" xfId="9963"/>
    <cellStyle name="標準 96 2 5" xfId="4773"/>
    <cellStyle name="標準 96 2 5 2" xfId="10392"/>
    <cellStyle name="標準 96 2 6" xfId="9083"/>
    <cellStyle name="標準 96 3" xfId="2587"/>
    <cellStyle name="標準 96 3 2" xfId="4865"/>
    <cellStyle name="標準 96 3 2 2" xfId="10482"/>
    <cellStyle name="標準 96 3 3" xfId="9173"/>
    <cellStyle name="標準 96 4" xfId="2677"/>
    <cellStyle name="標準 96 4 2" xfId="4955"/>
    <cellStyle name="標準 96 4 2 2" xfId="10571"/>
    <cellStyle name="標準 96 4 3" xfId="9262"/>
    <cellStyle name="標準 96 5" xfId="2772"/>
    <cellStyle name="標準 96 5 2" xfId="5045"/>
    <cellStyle name="標準 96 5 2 2" xfId="10660"/>
    <cellStyle name="標準 96 5 3" xfId="9351"/>
    <cellStyle name="標準 96 6" xfId="2862"/>
    <cellStyle name="標準 96 6 2" xfId="5135"/>
    <cellStyle name="標準 96 6 2 2" xfId="10749"/>
    <cellStyle name="標準 96 6 3" xfId="9440"/>
    <cellStyle name="標準 96 7" xfId="2951"/>
    <cellStyle name="標準 96 7 2" xfId="5224"/>
    <cellStyle name="標準 96 7 2 2" xfId="10836"/>
    <cellStyle name="標準 96 7 3" xfId="9527"/>
    <cellStyle name="標準 96 8" xfId="3382"/>
    <cellStyle name="標準 96 8 2" xfId="5655"/>
    <cellStyle name="標準 96 8 2 2" xfId="11010"/>
    <cellStyle name="標準 96 8 3" xfId="9701"/>
    <cellStyle name="標準 96 9" xfId="4081"/>
    <cellStyle name="標準 96 9 2" xfId="6354"/>
    <cellStyle name="標準 96 9 2 2" xfId="11184"/>
    <cellStyle name="標準 96 9 3" xfId="9875"/>
    <cellStyle name="標準 97" xfId="1926"/>
    <cellStyle name="標準 97 10" xfId="4282"/>
    <cellStyle name="標準 97 10 2" xfId="6555"/>
    <cellStyle name="標準 97 10 2 2" xfId="11359"/>
    <cellStyle name="標準 97 10 3" xfId="10050"/>
    <cellStyle name="標準 97 11" xfId="4374"/>
    <cellStyle name="標準 97 11 2" xfId="6647"/>
    <cellStyle name="標準 97 11 2 2" xfId="11448"/>
    <cellStyle name="標準 97 11 3" xfId="10139"/>
    <cellStyle name="標準 97 12" xfId="4464"/>
    <cellStyle name="標準 97 12 2" xfId="6737"/>
    <cellStyle name="標準 97 12 2 2" xfId="11537"/>
    <cellStyle name="標準 97 12 3" xfId="10228"/>
    <cellStyle name="標準 97 13" xfId="4560"/>
    <cellStyle name="標準 97 13 2" xfId="10317"/>
    <cellStyle name="標準 97 14" xfId="2186"/>
    <cellStyle name="標準 97 14 2" xfId="11632"/>
    <cellStyle name="標準 97 15" xfId="9008"/>
    <cellStyle name="標準 97 16" xfId="11567"/>
    <cellStyle name="標準 97 2" xfId="2492"/>
    <cellStyle name="標準 97 2 2" xfId="3038"/>
    <cellStyle name="標準 97 2 2 2" xfId="5311"/>
    <cellStyle name="標準 97 2 2 2 2" xfId="10923"/>
    <cellStyle name="標準 97 2 2 3" xfId="9614"/>
    <cellStyle name="標準 97 2 3" xfId="3610"/>
    <cellStyle name="標準 97 2 3 2" xfId="5883"/>
    <cellStyle name="標準 97 2 3 2 2" xfId="11097"/>
    <cellStyle name="標準 97 2 3 3" xfId="9788"/>
    <cellStyle name="標準 97 2 4" xfId="4173"/>
    <cellStyle name="標準 97 2 4 2" xfId="6446"/>
    <cellStyle name="標準 97 2 4 2 2" xfId="11271"/>
    <cellStyle name="標準 97 2 4 3" xfId="9962"/>
    <cellStyle name="標準 97 2 5" xfId="4772"/>
    <cellStyle name="標準 97 2 5 2" xfId="10391"/>
    <cellStyle name="標準 97 2 6" xfId="9082"/>
    <cellStyle name="標準 97 3" xfId="2586"/>
    <cellStyle name="標準 97 3 2" xfId="4864"/>
    <cellStyle name="標準 97 3 2 2" xfId="10481"/>
    <cellStyle name="標準 97 3 3" xfId="9172"/>
    <cellStyle name="標準 97 4" xfId="2676"/>
    <cellStyle name="標準 97 4 2" xfId="4954"/>
    <cellStyle name="標準 97 4 2 2" xfId="10570"/>
    <cellStyle name="標準 97 4 3" xfId="9261"/>
    <cellStyle name="標準 97 5" xfId="2771"/>
    <cellStyle name="標準 97 5 2" xfId="5044"/>
    <cellStyle name="標準 97 5 2 2" xfId="10659"/>
    <cellStyle name="標準 97 5 3" xfId="9350"/>
    <cellStyle name="標準 97 6" xfId="2861"/>
    <cellStyle name="標準 97 6 2" xfId="5134"/>
    <cellStyle name="標準 97 6 2 2" xfId="10748"/>
    <cellStyle name="標準 97 6 3" xfId="9439"/>
    <cellStyle name="標準 97 7" xfId="2950"/>
    <cellStyle name="標準 97 7 2" xfId="5223"/>
    <cellStyle name="標準 97 7 2 2" xfId="10835"/>
    <cellStyle name="標準 97 7 3" xfId="9526"/>
    <cellStyle name="標準 97 8" xfId="3381"/>
    <cellStyle name="標準 97 8 2" xfId="5654"/>
    <cellStyle name="標準 97 8 2 2" xfId="11009"/>
    <cellStyle name="標準 97 8 3" xfId="9700"/>
    <cellStyle name="標準 97 9" xfId="4080"/>
    <cellStyle name="標準 97 9 2" xfId="6353"/>
    <cellStyle name="標準 97 9 2 2" xfId="11183"/>
    <cellStyle name="標準 97 9 3" xfId="9874"/>
    <cellStyle name="標準 98" xfId="2190"/>
    <cellStyle name="標準 98 10" xfId="4286"/>
    <cellStyle name="標準 98 10 2" xfId="6559"/>
    <cellStyle name="標準 98 10 2 2" xfId="11363"/>
    <cellStyle name="標準 98 10 3" xfId="10054"/>
    <cellStyle name="標準 98 11" xfId="4378"/>
    <cellStyle name="標準 98 11 2" xfId="6651"/>
    <cellStyle name="標準 98 11 2 2" xfId="11452"/>
    <cellStyle name="標準 98 11 3" xfId="10143"/>
    <cellStyle name="標準 98 12" xfId="4468"/>
    <cellStyle name="標準 98 12 2" xfId="6741"/>
    <cellStyle name="標準 98 12 2 2" xfId="11541"/>
    <cellStyle name="標準 98 12 3" xfId="10232"/>
    <cellStyle name="標準 98 13" xfId="4564"/>
    <cellStyle name="標準 98 13 2" xfId="10321"/>
    <cellStyle name="標準 98 14" xfId="9012"/>
    <cellStyle name="標準 98 2" xfId="2496"/>
    <cellStyle name="標準 98 2 2" xfId="3042"/>
    <cellStyle name="標準 98 2 2 2" xfId="5315"/>
    <cellStyle name="標準 98 2 2 2 2" xfId="10927"/>
    <cellStyle name="標準 98 2 2 3" xfId="9618"/>
    <cellStyle name="標準 98 2 3" xfId="3614"/>
    <cellStyle name="標準 98 2 3 2" xfId="5887"/>
    <cellStyle name="標準 98 2 3 2 2" xfId="11101"/>
    <cellStyle name="標準 98 2 3 3" xfId="9792"/>
    <cellStyle name="標準 98 2 4" xfId="4177"/>
    <cellStyle name="標準 98 2 4 2" xfId="6450"/>
    <cellStyle name="標準 98 2 4 2 2" xfId="11275"/>
    <cellStyle name="標準 98 2 4 3" xfId="9966"/>
    <cellStyle name="標準 98 2 5" xfId="4776"/>
    <cellStyle name="標準 98 2 5 2" xfId="10395"/>
    <cellStyle name="標準 98 2 6" xfId="9086"/>
    <cellStyle name="標準 98 3" xfId="2590"/>
    <cellStyle name="標準 98 3 2" xfId="4868"/>
    <cellStyle name="標準 98 3 2 2" xfId="10485"/>
    <cellStyle name="標準 98 3 3" xfId="9176"/>
    <cellStyle name="標準 98 4" xfId="2680"/>
    <cellStyle name="標準 98 4 2" xfId="4958"/>
    <cellStyle name="標準 98 4 2 2" xfId="10574"/>
    <cellStyle name="標準 98 4 3" xfId="9265"/>
    <cellStyle name="標準 98 5" xfId="2775"/>
    <cellStyle name="標準 98 5 2" xfId="5048"/>
    <cellStyle name="標準 98 5 2 2" xfId="10663"/>
    <cellStyle name="標準 98 5 3" xfId="9354"/>
    <cellStyle name="標準 98 6" xfId="2865"/>
    <cellStyle name="標準 98 6 2" xfId="5138"/>
    <cellStyle name="標準 98 6 2 2" xfId="10752"/>
    <cellStyle name="標準 98 6 3" xfId="9443"/>
    <cellStyle name="標準 98 7" xfId="2954"/>
    <cellStyle name="標準 98 7 2" xfId="5227"/>
    <cellStyle name="標準 98 7 2 2" xfId="10839"/>
    <cellStyle name="標準 98 7 3" xfId="9530"/>
    <cellStyle name="標準 98 8" xfId="3390"/>
    <cellStyle name="標準 98 8 2" xfId="5663"/>
    <cellStyle name="標準 98 8 2 2" xfId="11013"/>
    <cellStyle name="標準 98 8 3" xfId="9704"/>
    <cellStyle name="標準 98 9" xfId="4084"/>
    <cellStyle name="標準 98 9 2" xfId="6357"/>
    <cellStyle name="標準 98 9 2 2" xfId="11187"/>
    <cellStyle name="標準 98 9 3" xfId="9878"/>
    <cellStyle name="標準 99" xfId="2193"/>
    <cellStyle name="標準 99 10" xfId="4289"/>
    <cellStyle name="標準 99 10 2" xfId="6562"/>
    <cellStyle name="標準 99 10 2 2" xfId="11366"/>
    <cellStyle name="標準 99 10 3" xfId="10057"/>
    <cellStyle name="標準 99 11" xfId="4381"/>
    <cellStyle name="標準 99 11 2" xfId="6654"/>
    <cellStyle name="標準 99 11 2 2" xfId="11455"/>
    <cellStyle name="標準 99 11 3" xfId="10146"/>
    <cellStyle name="標準 99 12" xfId="4471"/>
    <cellStyle name="標準 99 12 2" xfId="6744"/>
    <cellStyle name="標準 99 12 2 2" xfId="11544"/>
    <cellStyle name="標準 99 12 3" xfId="10235"/>
    <cellStyle name="標準 99 13" xfId="4567"/>
    <cellStyle name="標準 99 13 2" xfId="10324"/>
    <cellStyle name="標準 99 14" xfId="9015"/>
    <cellStyle name="標準 99 2" xfId="2499"/>
    <cellStyle name="標準 99 2 2" xfId="3045"/>
    <cellStyle name="標準 99 2 2 2" xfId="5318"/>
    <cellStyle name="標準 99 2 2 2 2" xfId="10930"/>
    <cellStyle name="標準 99 2 2 3" xfId="9621"/>
    <cellStyle name="標準 99 2 3" xfId="3617"/>
    <cellStyle name="標準 99 2 3 2" xfId="5890"/>
    <cellStyle name="標準 99 2 3 2 2" xfId="11104"/>
    <cellStyle name="標準 99 2 3 3" xfId="9795"/>
    <cellStyle name="標準 99 2 4" xfId="4180"/>
    <cellStyle name="標準 99 2 4 2" xfId="6453"/>
    <cellStyle name="標準 99 2 4 2 2" xfId="11278"/>
    <cellStyle name="標準 99 2 4 3" xfId="9969"/>
    <cellStyle name="標準 99 2 5" xfId="4779"/>
    <cellStyle name="標準 99 2 5 2" xfId="10398"/>
    <cellStyle name="標準 99 2 6" xfId="9089"/>
    <cellStyle name="標準 99 3" xfId="2593"/>
    <cellStyle name="標準 99 3 2" xfId="4871"/>
    <cellStyle name="標準 99 3 2 2" xfId="10488"/>
    <cellStyle name="標準 99 3 3" xfId="9179"/>
    <cellStyle name="標準 99 4" xfId="2683"/>
    <cellStyle name="標準 99 4 2" xfId="4961"/>
    <cellStyle name="標準 99 4 2 2" xfId="10577"/>
    <cellStyle name="標準 99 4 3" xfId="9268"/>
    <cellStyle name="標準 99 5" xfId="2778"/>
    <cellStyle name="標準 99 5 2" xfId="5051"/>
    <cellStyle name="標準 99 5 2 2" xfId="10666"/>
    <cellStyle name="標準 99 5 3" xfId="9357"/>
    <cellStyle name="標準 99 6" xfId="2868"/>
    <cellStyle name="標準 99 6 2" xfId="5141"/>
    <cellStyle name="標準 99 6 2 2" xfId="10755"/>
    <cellStyle name="標準 99 6 3" xfId="9446"/>
    <cellStyle name="標準 99 7" xfId="2957"/>
    <cellStyle name="標準 99 7 2" xfId="5230"/>
    <cellStyle name="標準 99 7 2 2" xfId="10842"/>
    <cellStyle name="標準 99 7 3" xfId="9533"/>
    <cellStyle name="標準 99 8" xfId="3393"/>
    <cellStyle name="標準 99 8 2" xfId="5666"/>
    <cellStyle name="標準 99 8 2 2" xfId="11016"/>
    <cellStyle name="標準 99 8 3" xfId="9707"/>
    <cellStyle name="標準 99 9" xfId="4087"/>
    <cellStyle name="標準 99 9 2" xfId="6360"/>
    <cellStyle name="標準 99 9 2 2" xfId="11190"/>
    <cellStyle name="標準 99 9 3" xfId="9881"/>
    <cellStyle name="標準_(先物OPモバイル)追加検査仕様書 2" xfId="1"/>
    <cellStyle name="標準_Book3" xfId="3"/>
    <cellStyle name="標準１" xfId="1927"/>
    <cellStyle name="標準１ 2" xfId="1928"/>
    <cellStyle name="標準１ 2 2" xfId="1929"/>
    <cellStyle name="標準１ 3" xfId="1930"/>
    <cellStyle name="標準２" xfId="1931"/>
    <cellStyle name="標準構内" xfId="1932"/>
    <cellStyle name="標準仕様書" xfId="1933"/>
    <cellStyle name="表旨巧・・ハイパーリンク" xfId="1934"/>
    <cellStyle name="表旨巧・・ハイパーリンク 2" xfId="1935"/>
    <cellStyle name="付表" xfId="1936"/>
    <cellStyle name="메모" xfId="1937"/>
    <cellStyle name="메모 2" xfId="1938"/>
    <cellStyle name="메모 2 2" xfId="3527"/>
    <cellStyle name="메모 2 2 2" xfId="5800"/>
    <cellStyle name="메모 2 2 2 2" xfId="8506"/>
    <cellStyle name="메모 2 2 3" xfId="7539"/>
    <cellStyle name="메모 2 3" xfId="3339"/>
    <cellStyle name="메모 2 3 2" xfId="5612"/>
    <cellStyle name="메모 2 3 2 2" xfId="8367"/>
    <cellStyle name="메모 2 3 3" xfId="7400"/>
    <cellStyle name="메모 2 4" xfId="3751"/>
    <cellStyle name="메모 2 4 2" xfId="6024"/>
    <cellStyle name="메모 2 4 2 2" xfId="8644"/>
    <cellStyle name="메모 2 4 3" xfId="7677"/>
    <cellStyle name="메모 2 5" xfId="4023"/>
    <cellStyle name="메모 2 5 2" xfId="6296"/>
    <cellStyle name="메모 2 5 2 2" xfId="8884"/>
    <cellStyle name="메모 2 5 3" xfId="7917"/>
    <cellStyle name="메모 2 6" xfId="3871"/>
    <cellStyle name="메모 2 6 2" xfId="6144"/>
    <cellStyle name="메모 2 6 2 2" xfId="8762"/>
    <cellStyle name="메모 2 6 3" xfId="7795"/>
    <cellStyle name="메모 2 7" xfId="4707"/>
    <cellStyle name="메모 2 7 2" xfId="8102"/>
    <cellStyle name="메모 2 8" xfId="7135"/>
    <cellStyle name="메모 3" xfId="3172"/>
    <cellStyle name="메모 3 2" xfId="5445"/>
    <cellStyle name="메모 3 2 2" xfId="8237"/>
    <cellStyle name="메모 3 3" xfId="7270"/>
    <cellStyle name="메모 4" xfId="2334"/>
    <cellStyle name="메모 4 2" xfId="6999"/>
    <cellStyle name="메모 5" xfId="2101"/>
    <cellStyle name="未定義" xfId="1939"/>
    <cellStyle name="未定義 2" xfId="1940"/>
    <cellStyle name="未定義 2 2" xfId="1941"/>
    <cellStyle name="未定義 3" xfId="1942"/>
    <cellStyle name="未定義 4" xfId="1943"/>
    <cellStyle name="未定義 5" xfId="1944"/>
    <cellStyle name="網かけ-" xfId="1945"/>
    <cellStyle name="網かけ+" xfId="1946"/>
    <cellStyle name="良い 2" xfId="1947"/>
    <cellStyle name="良い 2 2" xfId="1948"/>
    <cellStyle name="良い 2 3" xfId="1949"/>
    <cellStyle name="良い 2 4" xfId="1950"/>
    <cellStyle name="良い 3" xfId="1951"/>
    <cellStyle name="良い 4" xfId="1952"/>
    <cellStyle name="良い 5" xfId="1953"/>
    <cellStyle name="良い 5 2" xfId="6846"/>
    <cellStyle name="良い 6" xfId="1954"/>
    <cellStyle name="良い 7" xfId="1955"/>
    <cellStyle name="良い 7 2" xfId="6847"/>
    <cellStyle name="보통" xfId="1956"/>
    <cellStyle name="설명 텍스트" xfId="1957"/>
    <cellStyle name="셀 확인" xfId="1958"/>
    <cellStyle name="爲敲据⁹〨崩⡜⑜Ⱓ⌣⸰〰⥜ ‪ⴢ㼢弿㬠 彀㼠 弻䀠 †††††††††††††††††††††††††㠠᠇鰁묂堀뀽w" xfId="1959"/>
    <cellStyle name="爲敲据⁹〨崩⡜⑜Ⱓ⌣⸰〰⥜ ‪ⴢ㼢弿㬠 彀㼠 弻䀠 †††††††††††††††††††††††††㠠᠇鰁묂堀뀽w 2" xfId="2426"/>
    <cellStyle name="爲敲据⁹〨崩⡜⑜Ⱓ⌣⸰〰⥜ ‪ⴢ㼢弿㬠 彀㼠 弻䀠 †††††††††††††††††††††††††㠠᠇鰁묂堀뀽w 2 2" xfId="4708"/>
    <cellStyle name="爲敲据⁹〨崩⡜⑜Ⱓ⌣⸰〰⥜ ‪ⴢ㼢弿㬠 彀㼠 弻䀠 †††††††††††††††††††††††††㠠᠇鰁묂堀뀽w 2 2 2" xfId="8103"/>
    <cellStyle name="爲敲据⁹〨崩⡜⑜Ⱓ⌣⸰〰⥜ ‪ⴢ㼢弿㬠 彀㼠 弻䀠 †††††††††††††††††††††††††㠠᠇鰁묂堀뀽w 2 3" xfId="7136"/>
    <cellStyle name="爲敲据⁹〨崩⡜⑜Ⱓ⌣⸰〰⥜ ‪ⴢ㼢弿㬠 彀㼠 弻䀠 †††††††††††††††††††††††††㠠᠇鰁묂堀뀽w 3" xfId="2335"/>
    <cellStyle name="爲敲据⁹〨崩⡜⑜Ⱓ⌣⸰〰⥜ ‪ⴢ㼢弿㬠 彀㼠 弻䀠 †††††††††††††††††††††††††㠠᠇鰁묂堀뀽w 3 2" xfId="7000"/>
    <cellStyle name="爲敲据⁹〨崩⡜⑜Ⱓ⌣⸰〰⥜ ‪ⴢ㼢弿㬠 彀㼠 弻䀠 †††††††††††††††††††††††††㠠᠇鰁묂堀뀽w 4" xfId="4485"/>
    <cellStyle name="爲敲据⁹〨崩⡜⑜Ⱓ⌣⸰〰⥜ ‪ⴢ㼢弿㬠 彀㼠 弻䀠 †††††††††††††††††††††††††㠠᠇鰁묂堀뀽w 4 2" xfId="7969"/>
    <cellStyle name="爲敲据⁹〨崩⡜⑜Ⱓ⌣⸰〰⥜ ‪ⴢ㼢弿㬠 彀㼠 弻䀠 †††††††††††††††††††††††††㠠᠇鰁묂堀뀽w 5" xfId="2102"/>
    <cellStyle name="연결된 셀" xfId="1960"/>
    <cellStyle name="요약" xfId="1961"/>
    <cellStyle name="요약 2" xfId="2427"/>
    <cellStyle name="요약 2 2" xfId="3528"/>
    <cellStyle name="요약 2 2 2" xfId="5801"/>
    <cellStyle name="요약 2 2 2 2" xfId="8507"/>
    <cellStyle name="요약 2 2 3" xfId="7540"/>
    <cellStyle name="요약 2 3" xfId="3340"/>
    <cellStyle name="요약 2 3 2" xfId="5613"/>
    <cellStyle name="요약 2 3 2 2" xfId="8368"/>
    <cellStyle name="요약 2 3 3" xfId="7401"/>
    <cellStyle name="요약 2 4" xfId="3752"/>
    <cellStyle name="요약 2 4 2" xfId="6025"/>
    <cellStyle name="요약 2 4 2 2" xfId="8645"/>
    <cellStyle name="요약 2 4 3" xfId="7678"/>
    <cellStyle name="요약 2 5" xfId="3908"/>
    <cellStyle name="요약 2 5 2" xfId="6181"/>
    <cellStyle name="요약 2 5 2 2" xfId="8799"/>
    <cellStyle name="요약 2 5 3" xfId="7832"/>
    <cellStyle name="요약 2 6" xfId="3833"/>
    <cellStyle name="요약 2 6 2" xfId="6106"/>
    <cellStyle name="요약 2 6 2 2" xfId="8724"/>
    <cellStyle name="요약 2 6 3" xfId="7757"/>
    <cellStyle name="요약 2 7" xfId="4709"/>
    <cellStyle name="요약 2 7 2" xfId="8104"/>
    <cellStyle name="요약 2 8" xfId="7137"/>
    <cellStyle name="요약 3" xfId="3173"/>
    <cellStyle name="요약 3 2" xfId="5446"/>
    <cellStyle name="요약 3 2 2" xfId="8238"/>
    <cellStyle name="요약 3 3" xfId="7271"/>
    <cellStyle name="요약 4" xfId="2336"/>
    <cellStyle name="요약 4 2" xfId="7001"/>
    <cellStyle name="요약 5" xfId="2103"/>
    <cellStyle name="입력" xfId="1962"/>
    <cellStyle name="입력 2" xfId="2428"/>
    <cellStyle name="입력 2 2" xfId="3529"/>
    <cellStyle name="입력 2 2 2" xfId="5802"/>
    <cellStyle name="입력 2 2 2 2" xfId="8508"/>
    <cellStyle name="입력 2 2 3" xfId="7541"/>
    <cellStyle name="입력 2 3" xfId="3341"/>
    <cellStyle name="입력 2 3 2" xfId="5614"/>
    <cellStyle name="입력 2 3 2 2" xfId="8369"/>
    <cellStyle name="입력 2 3 3" xfId="7402"/>
    <cellStyle name="입력 2 4" xfId="3753"/>
    <cellStyle name="입력 2 4 2" xfId="6026"/>
    <cellStyle name="입력 2 4 2 2" xfId="8646"/>
    <cellStyle name="입력 2 4 3" xfId="7679"/>
    <cellStyle name="입력 2 5" xfId="3909"/>
    <cellStyle name="입력 2 5 2" xfId="6182"/>
    <cellStyle name="입력 2 5 2 2" xfId="8800"/>
    <cellStyle name="입력 2 5 3" xfId="7833"/>
    <cellStyle name="입력 2 6" xfId="4196"/>
    <cellStyle name="입력 2 6 2" xfId="6469"/>
    <cellStyle name="입력 2 6 2 2" xfId="8915"/>
    <cellStyle name="입력 2 6 3" xfId="7948"/>
    <cellStyle name="입력 2 7" xfId="4710"/>
    <cellStyle name="입력 2 7 2" xfId="8105"/>
    <cellStyle name="입력 2 8" xfId="7138"/>
    <cellStyle name="입력 3" xfId="3174"/>
    <cellStyle name="입력 3 2" xfId="5447"/>
    <cellStyle name="입력 3 2 2" xfId="8239"/>
    <cellStyle name="입력 3 3" xfId="7272"/>
    <cellStyle name="입력 4" xfId="2337"/>
    <cellStyle name="입력 4 2" xfId="7002"/>
    <cellStyle name="입력 5" xfId="1980"/>
    <cellStyle name="제목" xfId="1963"/>
    <cellStyle name="제목 1" xfId="1964"/>
    <cellStyle name="제목 2" xfId="1965"/>
    <cellStyle name="제목 3" xfId="1966"/>
    <cellStyle name="제목 4" xfId="1967"/>
    <cellStyle name="좋음" xfId="1968"/>
    <cellStyle name="출력" xfId="1969"/>
    <cellStyle name="출력 2" xfId="2429"/>
    <cellStyle name="출력 2 2" xfId="3530"/>
    <cellStyle name="출력 2 2 2" xfId="5803"/>
    <cellStyle name="출력 2 2 2 2" xfId="8509"/>
    <cellStyle name="출력 2 2 3" xfId="7542"/>
    <cellStyle name="출력 2 3" xfId="3342"/>
    <cellStyle name="출력 2 3 2" xfId="5615"/>
    <cellStyle name="출력 2 3 2 2" xfId="8370"/>
    <cellStyle name="출력 2 3 3" xfId="7403"/>
    <cellStyle name="출력 2 4" xfId="3754"/>
    <cellStyle name="출력 2 4 2" xfId="6027"/>
    <cellStyle name="출력 2 4 2 2" xfId="8647"/>
    <cellStyle name="출력 2 4 3" xfId="7680"/>
    <cellStyle name="출력 2 5" xfId="3910"/>
    <cellStyle name="출력 2 5 2" xfId="6183"/>
    <cellStyle name="출력 2 5 2 2" xfId="8801"/>
    <cellStyle name="출력 2 5 3" xfId="7834"/>
    <cellStyle name="출력 2 6" xfId="3870"/>
    <cellStyle name="출력 2 6 2" xfId="6143"/>
    <cellStyle name="출력 2 6 2 2" xfId="8761"/>
    <cellStyle name="출력 2 6 3" xfId="7794"/>
    <cellStyle name="출력 2 7" xfId="4711"/>
    <cellStyle name="출력 2 7 2" xfId="8106"/>
    <cellStyle name="출력 2 8" xfId="7139"/>
    <cellStyle name="출력 3" xfId="3175"/>
    <cellStyle name="출력 3 2" xfId="5448"/>
    <cellStyle name="출력 3 2 2" xfId="8240"/>
    <cellStyle name="출력 3 3" xfId="7273"/>
    <cellStyle name="출력 4" xfId="2338"/>
    <cellStyle name="출력 4 2" xfId="7003"/>
    <cellStyle name="출력 5" xfId="2104"/>
    <cellStyle name="표준_306-3.ETJ_FEP_AutoFeedDataTypes_v1.0" xfId="1970"/>
    <cellStyle name="捬䌠牵敲据⁹〨崩⡜⑜Ⱓ⌣⸰〰⥜ ‪ⴢ㼢弿㬠 彀㼠 弻䀠 †††††††††††††††††††††††††㠠᠇鰁묂堀뀽w" xfId="1971"/>
    <cellStyle name="爱敲据⁹〨崩⡜⑜Ⱓ⌣⸰〰⥜ ‪ⴢ㼢弿㬠 彀㼠 弻䀠 †††††††††††††††††††††††††㠠᠇鰁묂堀뀽w" xfId="1972"/>
    <cellStyle name="㠱䤭瑮牥敮⡴⑜Ⱓ⌣⸰〰⥜ ‪ⴢ㼢弿㬠 彀㼠 弻䀠 †††††††††††††††††††††††††㠠᠇鰁묂堀뀽w" xfId="1973"/>
  </cellStyles>
  <dxfs count="337">
    <dxf>
      <font>
        <color rgb="FF9C0006"/>
      </font>
      <fill>
        <patternFill>
          <bgColor rgb="FFFFC7CE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45"/>
        </patternFill>
      </fill>
    </dxf>
    <dxf>
      <font>
        <condense val="0"/>
        <extend val="0"/>
        <color indexed="9"/>
      </font>
      <fill>
        <patternFill>
          <bgColor indexed="12"/>
        </patternFill>
      </fill>
    </dxf>
    <dxf>
      <fill>
        <patternFill>
          <bgColor indexed="5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161925</xdr:rowOff>
        </xdr:from>
        <xdr:to>
          <xdr:col>0</xdr:col>
          <xdr:colOff>847725</xdr:colOff>
          <xdr:row>1</xdr:row>
          <xdr:rowOff>85725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一覧取得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</xdr:row>
          <xdr:rowOff>123825</xdr:rowOff>
        </xdr:from>
        <xdr:to>
          <xdr:col>4</xdr:col>
          <xdr:colOff>323850</xdr:colOff>
          <xdr:row>3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明朝"/>
                  <a:ea typeface="ＭＳ Ｐ明朝"/>
                </a:rPr>
                <a:t>GetData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95250</xdr:colOff>
          <xdr:row>0</xdr:row>
          <xdr:rowOff>66675</xdr:rowOff>
        </xdr:from>
        <xdr:to>
          <xdr:col>22</xdr:col>
          <xdr:colOff>619125</xdr:colOff>
          <xdr:row>1</xdr:row>
          <xdr:rowOff>66675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明朝"/>
                  <a:ea typeface="ＭＳ Ｐ明朝"/>
                </a:rPr>
                <a:t>GetData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473;&#12510;&#12540;&#12488;&#12501;&#12451;&#12490;&#12531;&#12471;&#12515;&#12523;/SMF000xx_&#32020;&#37329;&#31309;&#31435;&#12390;/04_&#22806;&#37096;&#35373;&#35336;/03_&#12487;&#12540;&#12479;&#12505;&#12540;&#12473;&#35373;&#35336;/&#12487;&#12540;&#12479;&#12505;&#12540;&#12473;&#35373;&#35336;&#26360;_&#21462;&#24341;DB_TradeDB_&#32020;&#3732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"/>
      <sheetName val="変更履歴"/>
      <sheetName val="テーブル一覧"/>
      <sheetName val="主キー一覧"/>
      <sheetName val="インデックス一覧"/>
      <sheetName val="シーケンス一覧"/>
      <sheetName val="命名規則"/>
      <sheetName val="M_PM_COMMODITY"/>
      <sheetName val="M_PM_TRADE_FEE"/>
      <sheetName val="M_PM_DERIVERY_FEE"/>
      <sheetName val="T_PM_DELIVERY"/>
      <sheetName val="T_PM_BALANCE"/>
      <sheetName val="T_PM_BALANCE_HIST"/>
      <sheetName val="T_PM_COMPANY_BALANCE"/>
      <sheetName val="T_PM_COMPANY_TRADE"/>
      <sheetName val="M_PM_TRADE_LIMIT"/>
      <sheetName val="M_PM_BU_SETTING_LIMIT"/>
      <sheetName val="T_PM_TRADE_PRICE"/>
      <sheetName val="T_PM_COMPANY_BALANCE_HIST"/>
      <sheetName val="T_PM_COMPANY_TRADE_HIST"/>
      <sheetName val="T_PM_SETTING"/>
      <sheetName val="M_PM_BUSINESS_DATE"/>
      <sheetName val="T_PM_DAILY_PRICE"/>
      <sheetName val="T_PM_WEEKLY_PRICE"/>
      <sheetName val="T_PM_MONTHLY_PRICE"/>
      <sheetName val="T_PM_ORDER"/>
      <sheetName val="T_PM_ORDER_DETAIL"/>
      <sheetName val="T_PM_PRICE_ALERT"/>
      <sheetName val="T_PM_EXECUTION"/>
      <sheetName val="M_PM_SPREAD"/>
      <sheetName val="M_PM_DELIVERY_COMMODITY"/>
      <sheetName val="T_PM_FIXED_SETTING"/>
      <sheetName val="T_PM_FIXED_SETTING_LOG"/>
      <sheetName val="T_PM_EXECUTION_LOG"/>
      <sheetName val="T_PM_DELIVERY_DETAIL"/>
      <sheetName val="T_PM_DELIVERY_HIST"/>
      <sheetName val="T_PM_DELIVERY_DETAIL_HIST"/>
      <sheetName val="T_PM_SETTING_DETAIL"/>
      <sheetName val="【サンプル】テーブル一覧（要削除）"/>
      <sheetName val="【サンプル】主キー一覧（要削除）"/>
      <sheetName val="【サンプル】インデックス一覧（要削除）"/>
      <sheetName val="【サンプル】原本（要削除）"/>
      <sheetName val="各種データ"/>
      <sheetName val="VSTS_ValidationWS_1"/>
      <sheetName val="T_PM_SETTING_HIST"/>
      <sheetName val="T_PM_SETTING_DETAIL_HIST"/>
      <sheetName val="T_PM_FIXED_SETTING_HIST"/>
      <sheetName val="T_PM_ORDER_HIST"/>
      <sheetName val="T_PM_ORDER_DETAIL_HIST"/>
      <sheetName val="T_PM_EXECUTION_HIST"/>
      <sheetName val="T_PM_FIXED_SETTING_LOG_HIST"/>
      <sheetName val="T_PM_EXECUTION_LOG_HIST"/>
      <sheetName val="M_PM_ONLINE_STATUS"/>
      <sheetName val="T_PM_DAILY_BALANCE"/>
      <sheetName val="T_PM_DAILY_BALANCE_HIST"/>
      <sheetName val="T_PM_MONTHLY_BALANCE"/>
      <sheetName val="テンプレート（原本）"/>
      <sheetName val="カラム一覧"/>
      <sheetName val="【削除したカラム】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1">
          <cell r="A1" t="str">
            <v>名称</v>
          </cell>
          <cell r="B1" t="str">
            <v>COLUMNS</v>
          </cell>
          <cell r="C1" t="str">
            <v>型</v>
          </cell>
          <cell r="D1" t="str">
            <v>桁数</v>
          </cell>
          <cell r="E1" t="str">
            <v>小数</v>
          </cell>
        </row>
        <row r="2">
          <cell r="A2" t="str">
            <v>ドキュメントファイル名</v>
          </cell>
          <cell r="B2" t="str">
            <v>DOCUMENT_FILE_NAME</v>
          </cell>
          <cell r="C2" t="str">
            <v>nvarchar</v>
          </cell>
          <cell r="D2">
            <v>256</v>
          </cell>
        </row>
        <row r="3">
          <cell r="A3" t="str">
            <v>ドキュメント撮影メーカー</v>
          </cell>
          <cell r="B3" t="str">
            <v>DOCUMENT_EXIF_MAKER</v>
          </cell>
          <cell r="C3" t="str">
            <v>nvarchar</v>
          </cell>
          <cell r="D3">
            <v>256</v>
          </cell>
        </row>
        <row r="4">
          <cell r="A4" t="str">
            <v>ドキュメント撮影機種名</v>
          </cell>
          <cell r="B4" t="str">
            <v>DOCUMENT_EXIF_MODEL</v>
          </cell>
          <cell r="C4" t="str">
            <v>nvarchar</v>
          </cell>
          <cell r="D4">
            <v>256</v>
          </cell>
        </row>
        <row r="5">
          <cell r="A5" t="str">
            <v>ドキュメント撮影日時</v>
          </cell>
          <cell r="B5" t="str">
            <v>DOCUMENT_EXIF_DT</v>
          </cell>
          <cell r="C5" t="str">
            <v>datetime</v>
          </cell>
        </row>
        <row r="6">
          <cell r="A6" t="str">
            <v>ドキュメント種別</v>
          </cell>
          <cell r="B6" t="str">
            <v>DOCUMENT_TYPE_CLS</v>
          </cell>
          <cell r="C6" t="str">
            <v>char</v>
          </cell>
          <cell r="D6">
            <v>2</v>
          </cell>
        </row>
        <row r="7">
          <cell r="A7" t="str">
            <v>ドキュメント詳細</v>
          </cell>
          <cell r="B7" t="str">
            <v>DOCUMENT_DETAIL</v>
          </cell>
          <cell r="C7" t="str">
            <v>nvarchar</v>
          </cell>
          <cell r="D7">
            <v>256</v>
          </cell>
        </row>
        <row r="8">
          <cell r="A8" t="str">
            <v>ドキュメント提出オペレータID</v>
          </cell>
          <cell r="B8" t="str">
            <v>DOCUMENT_ENTRY_OPERATOR_ID</v>
          </cell>
          <cell r="C8" t="str">
            <v>varchar</v>
          </cell>
          <cell r="D8">
            <v>32</v>
          </cell>
        </row>
        <row r="9">
          <cell r="A9" t="str">
            <v>ドキュメント提出日時</v>
          </cell>
          <cell r="B9" t="str">
            <v>DOCUMENT_ENTRY_DT</v>
          </cell>
          <cell r="C9" t="str">
            <v>datetime</v>
          </cell>
        </row>
        <row r="10">
          <cell r="A10" t="str">
            <v>ドキュメント本体</v>
          </cell>
          <cell r="B10" t="str">
            <v>DOCUMENT_BINARY</v>
          </cell>
          <cell r="C10" t="str">
            <v>varbinary</v>
          </cell>
          <cell r="D10" t="str">
            <v>max</v>
          </cell>
        </row>
        <row r="11">
          <cell r="A11" t="str">
            <v>メール通番</v>
          </cell>
          <cell r="B11" t="str">
            <v>MAIL_SEQ_NO</v>
          </cell>
          <cell r="C11" t="str">
            <v>numeric</v>
          </cell>
          <cell r="D11">
            <v>18</v>
          </cell>
        </row>
        <row r="12">
          <cell r="A12" t="str">
            <v>メールアドレス</v>
          </cell>
          <cell r="B12" t="str">
            <v>MAIL_ADDRESS</v>
          </cell>
          <cell r="C12" t="str">
            <v>varchar</v>
          </cell>
          <cell r="D12">
            <v>256</v>
          </cell>
        </row>
        <row r="13">
          <cell r="A13" t="str">
            <v>メールタイトル</v>
          </cell>
          <cell r="B13" t="str">
            <v>SUBJECT</v>
          </cell>
          <cell r="C13" t="str">
            <v>nvarchar</v>
          </cell>
          <cell r="D13">
            <v>256</v>
          </cell>
        </row>
        <row r="14">
          <cell r="A14" t="str">
            <v>メール本文</v>
          </cell>
          <cell r="B14" t="str">
            <v>BODY_TEXT</v>
          </cell>
          <cell r="C14" t="str">
            <v>nvarchar</v>
          </cell>
          <cell r="D14" t="str">
            <v>max</v>
          </cell>
        </row>
        <row r="15">
          <cell r="A15" t="str">
            <v>プロセスクラス名</v>
          </cell>
          <cell r="B15" t="str">
            <v>PROCESSING_CLASS_NAME</v>
          </cell>
          <cell r="C15" t="str">
            <v>varchar</v>
          </cell>
          <cell r="D15">
            <v>256</v>
          </cell>
        </row>
        <row r="16">
          <cell r="A16" t="str">
            <v>送信元メールアドレス</v>
          </cell>
          <cell r="B16" t="str">
            <v>FROM_MAIL_ADDRESS</v>
          </cell>
          <cell r="C16" t="str">
            <v>varchar</v>
          </cell>
          <cell r="D16">
            <v>256</v>
          </cell>
        </row>
        <row r="17">
          <cell r="A17" t="str">
            <v>Bccメールアドレス</v>
          </cell>
          <cell r="B17" t="str">
            <v>BCC_MAIL_ADDRESS</v>
          </cell>
          <cell r="C17" t="str">
            <v>varchar</v>
          </cell>
          <cell r="D17">
            <v>256</v>
          </cell>
        </row>
        <row r="18">
          <cell r="A18" t="str">
            <v>送信先アドレス</v>
          </cell>
          <cell r="B18" t="str">
            <v>SEND_TO_ADDRESS</v>
          </cell>
          <cell r="C18" t="str">
            <v>varchar</v>
          </cell>
          <cell r="D18">
            <v>256</v>
          </cell>
        </row>
        <row r="19">
          <cell r="A19" t="str">
            <v>送信タイトル内容</v>
          </cell>
          <cell r="B19" t="str">
            <v>CONTENT_SUBJECT</v>
          </cell>
          <cell r="C19" t="str">
            <v>nvarchar</v>
          </cell>
          <cell r="D19">
            <v>256</v>
          </cell>
        </row>
        <row r="20">
          <cell r="A20" t="str">
            <v>送信メッセージ内容</v>
          </cell>
          <cell r="B20" t="str">
            <v>CONTENT_MSG</v>
          </cell>
          <cell r="C20" t="str">
            <v>nvarchar</v>
          </cell>
          <cell r="D20" t="str">
            <v>max</v>
          </cell>
        </row>
        <row r="21">
          <cell r="A21" t="str">
            <v>メール送信ステータス</v>
          </cell>
          <cell r="B21" t="str">
            <v>MAIL_SEND_STS_CLS</v>
          </cell>
          <cell r="C21" t="str">
            <v>char</v>
          </cell>
          <cell r="D21">
            <v>1</v>
          </cell>
        </row>
        <row r="22">
          <cell r="A22" t="str">
            <v>送信日時</v>
          </cell>
          <cell r="B22" t="str">
            <v>SEND_DT</v>
          </cell>
          <cell r="C22" t="str">
            <v>datetime</v>
          </cell>
        </row>
        <row r="23">
          <cell r="A23" t="str">
            <v>二段階認証番号通知区分</v>
          </cell>
          <cell r="B23" t="str">
            <v>TWO_STEP_NOTICE_CLS</v>
          </cell>
          <cell r="C23" t="str">
            <v>char</v>
          </cell>
          <cell r="D23">
            <v>1</v>
          </cell>
        </row>
        <row r="24">
          <cell r="A24" t="str">
            <v>企業コード</v>
          </cell>
          <cell r="B24" t="str">
            <v>COMPANY_CD</v>
          </cell>
          <cell r="C24" t="str">
            <v>char</v>
          </cell>
          <cell r="D24">
            <v>3</v>
          </cell>
        </row>
        <row r="25">
          <cell r="A25" t="str">
            <v>言語コード</v>
          </cell>
          <cell r="B25" t="str">
            <v>LANG_CD</v>
          </cell>
          <cell r="C25" t="str">
            <v>char</v>
          </cell>
          <cell r="D25">
            <v>1</v>
          </cell>
        </row>
        <row r="26">
          <cell r="A26" t="str">
            <v>顧客コード</v>
          </cell>
          <cell r="B26" t="str">
            <v>CUSTOMER_CD</v>
          </cell>
          <cell r="C26" t="str">
            <v>char</v>
          </cell>
          <cell r="D26">
            <v>6</v>
          </cell>
        </row>
        <row r="27">
          <cell r="A27" t="str">
            <v>更新者</v>
          </cell>
          <cell r="B27" t="str">
            <v>UPDATE_PRG_ID</v>
          </cell>
          <cell r="C27" t="str">
            <v>nvarchar</v>
          </cell>
          <cell r="D27">
            <v>32</v>
          </cell>
        </row>
        <row r="28">
          <cell r="A28" t="str">
            <v>更新日時</v>
          </cell>
          <cell r="B28" t="str">
            <v>UPDATE_DT</v>
          </cell>
          <cell r="C28" t="str">
            <v>datetime</v>
          </cell>
        </row>
        <row r="29">
          <cell r="A29" t="str">
            <v>作成者</v>
          </cell>
          <cell r="B29" t="str">
            <v>CREATE_PRG_ID</v>
          </cell>
          <cell r="C29" t="str">
            <v>nvarchar</v>
          </cell>
          <cell r="D29">
            <v>32</v>
          </cell>
        </row>
        <row r="30">
          <cell r="A30" t="str">
            <v>作成日時</v>
          </cell>
          <cell r="B30" t="str">
            <v>CREATE_DT</v>
          </cell>
          <cell r="C30" t="str">
            <v>datetime</v>
          </cell>
        </row>
        <row r="31">
          <cell r="A31" t="str">
            <v>削除フラグ</v>
          </cell>
          <cell r="B31" t="str">
            <v>DELETE_FLG</v>
          </cell>
          <cell r="C31" t="str">
            <v>char</v>
          </cell>
          <cell r="D31">
            <v>1</v>
          </cell>
        </row>
        <row r="32">
          <cell r="A32" t="str">
            <v>申込コード</v>
          </cell>
          <cell r="B32" t="str">
            <v>ENTRY_CD</v>
          </cell>
          <cell r="C32" t="str">
            <v>numeric</v>
          </cell>
          <cell r="D32">
            <v>12</v>
          </cell>
        </row>
        <row r="33">
          <cell r="A33" t="str">
            <v>部店コード</v>
          </cell>
          <cell r="B33" t="str">
            <v>BRANCH_CD</v>
          </cell>
          <cell r="C33" t="str">
            <v>char</v>
          </cell>
          <cell r="D33">
            <v>3</v>
          </cell>
        </row>
        <row r="34">
          <cell r="A34" t="str">
            <v>郵便番号</v>
          </cell>
          <cell r="B34" t="str">
            <v>POSTAL_CODE</v>
          </cell>
          <cell r="C34" t="str">
            <v>varchar</v>
          </cell>
          <cell r="D34">
            <v>8</v>
          </cell>
        </row>
        <row r="35">
          <cell r="A35" t="str">
            <v>申込日</v>
          </cell>
          <cell r="B35" t="str">
            <v>ENTRY_D</v>
          </cell>
          <cell r="C35" t="str">
            <v>datetime</v>
          </cell>
        </row>
        <row r="36">
          <cell r="A36" t="str">
            <v>個人法人区分</v>
          </cell>
          <cell r="B36" t="str">
            <v>INDIVIDUAL_CLS</v>
          </cell>
          <cell r="C36" t="str">
            <v>char</v>
          </cell>
          <cell r="D36">
            <v>1</v>
          </cell>
        </row>
        <row r="37">
          <cell r="A37" t="str">
            <v>姓</v>
          </cell>
          <cell r="B37" t="str">
            <v>LAST_NAME</v>
          </cell>
          <cell r="C37" t="str">
            <v>nvarchar</v>
          </cell>
          <cell r="D37">
            <v>128</v>
          </cell>
        </row>
        <row r="38">
          <cell r="A38" t="str">
            <v>ミドル名</v>
          </cell>
          <cell r="B38" t="str">
            <v>MIDDLE_NAME</v>
          </cell>
          <cell r="C38" t="str">
            <v>nvarchar</v>
          </cell>
          <cell r="D38">
            <v>128</v>
          </cell>
        </row>
        <row r="39">
          <cell r="A39" t="str">
            <v>名</v>
          </cell>
          <cell r="B39" t="str">
            <v>FIRST_NAME</v>
          </cell>
          <cell r="C39" t="str">
            <v>nvarchar</v>
          </cell>
          <cell r="D39">
            <v>128</v>
          </cell>
        </row>
        <row r="40">
          <cell r="A40" t="str">
            <v>カナ姓</v>
          </cell>
          <cell r="B40" t="str">
            <v>LAST_NAME_KANA</v>
          </cell>
          <cell r="C40" t="str">
            <v>nvarchar</v>
          </cell>
          <cell r="D40">
            <v>128</v>
          </cell>
        </row>
        <row r="41">
          <cell r="A41" t="str">
            <v>ミドルカナ名</v>
          </cell>
          <cell r="B41" t="str">
            <v>MIDDLE_NAME_KANA</v>
          </cell>
          <cell r="C41" t="str">
            <v>nvarchar</v>
          </cell>
          <cell r="D41">
            <v>128</v>
          </cell>
        </row>
        <row r="42">
          <cell r="A42" t="str">
            <v>カナ名</v>
          </cell>
          <cell r="B42" t="str">
            <v>FIRST_NAME_KANA</v>
          </cell>
          <cell r="C42" t="str">
            <v>nvarchar</v>
          </cell>
          <cell r="D42">
            <v>128</v>
          </cell>
        </row>
        <row r="43">
          <cell r="A43" t="str">
            <v>性別区分</v>
          </cell>
          <cell r="B43" t="str">
            <v>GENDER_CLS</v>
          </cell>
          <cell r="C43" t="str">
            <v>char</v>
          </cell>
          <cell r="D43">
            <v>1</v>
          </cell>
        </row>
        <row r="44">
          <cell r="A44" t="str">
            <v>国籍区分</v>
          </cell>
          <cell r="B44" t="str">
            <v>CITIZENSHIP_CLS</v>
          </cell>
          <cell r="C44" t="str">
            <v>char</v>
          </cell>
          <cell r="D44">
            <v>1</v>
          </cell>
        </row>
        <row r="45">
          <cell r="A45" t="str">
            <v>国籍</v>
          </cell>
          <cell r="B45" t="str">
            <v>CITIZENSHIP</v>
          </cell>
          <cell r="C45" t="str">
            <v>nvarchar</v>
          </cell>
          <cell r="D45">
            <v>128</v>
          </cell>
        </row>
        <row r="46">
          <cell r="A46" t="str">
            <v>国籍（その他情報）</v>
          </cell>
          <cell r="B46" t="str">
            <v>CITIZENSHIP_OTHER</v>
          </cell>
          <cell r="C46" t="str">
            <v>nvarchar</v>
          </cell>
          <cell r="D46">
            <v>128</v>
          </cell>
        </row>
        <row r="47">
          <cell r="A47" t="str">
            <v>米国納税義務</v>
          </cell>
          <cell r="B47" t="str">
            <v>FATCA_FLG</v>
          </cell>
          <cell r="C47" t="str">
            <v>char</v>
          </cell>
          <cell r="D47">
            <v>1</v>
          </cell>
        </row>
        <row r="48">
          <cell r="A48" t="str">
            <v>外国の重要な公人</v>
          </cell>
          <cell r="B48" t="str">
            <v>ALIEN_PEPS_FLG</v>
          </cell>
          <cell r="C48" t="str">
            <v>char</v>
          </cell>
          <cell r="D48">
            <v>1</v>
          </cell>
        </row>
        <row r="49">
          <cell r="A49" t="str">
            <v>居住国</v>
          </cell>
          <cell r="B49" t="str">
            <v>RESIDENCE_COUNTRY_CLS</v>
          </cell>
          <cell r="C49" t="str">
            <v>char</v>
          </cell>
          <cell r="D49">
            <v>1</v>
          </cell>
        </row>
        <row r="50">
          <cell r="A50" t="str">
            <v>生年月日</v>
          </cell>
          <cell r="B50" t="str">
            <v>BIRTH_D</v>
          </cell>
          <cell r="C50" t="str">
            <v>datetime</v>
          </cell>
        </row>
        <row r="51">
          <cell r="A51" t="str">
            <v>個人住所1</v>
          </cell>
          <cell r="B51" t="str">
            <v>INDIVIDUAL_ADDR1</v>
          </cell>
          <cell r="C51" t="str">
            <v>nvarchar</v>
          </cell>
          <cell r="D51">
            <v>128</v>
          </cell>
        </row>
        <row r="52">
          <cell r="A52" t="str">
            <v>個人住所2</v>
          </cell>
          <cell r="B52" t="str">
            <v>INDIVIDUAL_ADDR2</v>
          </cell>
          <cell r="C52" t="str">
            <v>nvarchar</v>
          </cell>
          <cell r="D52">
            <v>128</v>
          </cell>
        </row>
        <row r="53">
          <cell r="A53" t="str">
            <v>個人電話番号1</v>
          </cell>
          <cell r="B53" t="str">
            <v>INDIVIDUAL_TEL1</v>
          </cell>
          <cell r="C53" t="str">
            <v>varchar</v>
          </cell>
          <cell r="D53">
            <v>24</v>
          </cell>
        </row>
        <row r="54">
          <cell r="A54" t="str">
            <v>個人電話番号2</v>
          </cell>
          <cell r="B54" t="str">
            <v>INDIVIDUAL_TEL2</v>
          </cell>
          <cell r="C54" t="str">
            <v>varchar</v>
          </cell>
          <cell r="D54">
            <v>24</v>
          </cell>
        </row>
        <row r="55">
          <cell r="A55" t="str">
            <v>職業</v>
          </cell>
          <cell r="B55" t="str">
            <v>OCCUPATION_CLS</v>
          </cell>
          <cell r="C55" t="str">
            <v>char</v>
          </cell>
          <cell r="D55">
            <v>2</v>
          </cell>
        </row>
        <row r="56">
          <cell r="A56" t="str">
            <v>勤務先名称</v>
          </cell>
          <cell r="B56" t="str">
            <v>EMPLOYER_NAME</v>
          </cell>
          <cell r="C56" t="str">
            <v>nvarchar</v>
          </cell>
          <cell r="D56">
            <v>256</v>
          </cell>
        </row>
        <row r="57">
          <cell r="A57" t="str">
            <v>勤務先電話番号</v>
          </cell>
          <cell r="B57" t="str">
            <v>WORKPLACE_TEL</v>
          </cell>
          <cell r="C57" t="str">
            <v>varchar</v>
          </cell>
          <cell r="D57">
            <v>24</v>
          </cell>
        </row>
        <row r="58">
          <cell r="A58" t="str">
            <v>年収</v>
          </cell>
          <cell r="B58" t="str">
            <v>ANNUAL_INCOME_CLS</v>
          </cell>
          <cell r="C58" t="str">
            <v>char</v>
          </cell>
          <cell r="D58">
            <v>2</v>
          </cell>
        </row>
        <row r="59">
          <cell r="A59" t="str">
            <v>金融資産</v>
          </cell>
          <cell r="B59" t="str">
            <v>FINANCIAL_ASSET_CLS</v>
          </cell>
          <cell r="C59" t="str">
            <v>char</v>
          </cell>
          <cell r="D59">
            <v>2</v>
          </cell>
        </row>
        <row r="60">
          <cell r="A60" t="str">
            <v>投資可能資金額</v>
          </cell>
          <cell r="B60" t="str">
            <v>INVEST_FUND_AMOUNT_CLS</v>
          </cell>
          <cell r="C60" t="str">
            <v>char</v>
          </cell>
          <cell r="D60">
            <v>2</v>
          </cell>
        </row>
        <row r="61">
          <cell r="A61" t="str">
            <v>投資資金の内容</v>
          </cell>
          <cell r="B61" t="str">
            <v>INVEST_FUND_CONTENT_CLS</v>
          </cell>
          <cell r="C61" t="str">
            <v>char</v>
          </cell>
          <cell r="D61">
            <v>2</v>
          </cell>
        </row>
        <row r="62">
          <cell r="A62" t="str">
            <v>取引目的</v>
          </cell>
          <cell r="B62" t="str">
            <v>TRADING_PURPOSE_CLS</v>
          </cell>
          <cell r="C62" t="str">
            <v>char</v>
          </cell>
          <cell r="D62">
            <v>2</v>
          </cell>
        </row>
        <row r="63">
          <cell r="A63" t="str">
            <v>申込経緯</v>
          </cell>
          <cell r="B63" t="str">
            <v>ENTRY_DETAIL_CLS</v>
          </cell>
          <cell r="C63" t="str">
            <v>char</v>
          </cell>
          <cell r="D63">
            <v>2</v>
          </cell>
        </row>
        <row r="64">
          <cell r="A64" t="str">
            <v>申込経緯（詳細）</v>
          </cell>
          <cell r="B64" t="str">
            <v>ENTRY_DETAIL</v>
          </cell>
          <cell r="C64" t="str">
            <v>nvarchar</v>
          </cell>
          <cell r="D64">
            <v>128</v>
          </cell>
        </row>
        <row r="65">
          <cell r="A65" t="str">
            <v>規定の同意日時1</v>
          </cell>
          <cell r="B65" t="str">
            <v>REQUIREMENT_CONSENT_DT1</v>
          </cell>
          <cell r="C65" t="str">
            <v>datetime</v>
          </cell>
        </row>
        <row r="66">
          <cell r="A66" t="str">
            <v>規定の同意日時2</v>
          </cell>
          <cell r="B66" t="str">
            <v>REQUIREMENT_CONSENT_DT2</v>
          </cell>
          <cell r="C66" t="str">
            <v>datetime</v>
          </cell>
        </row>
        <row r="67">
          <cell r="A67" t="str">
            <v>規定の同意日時3</v>
          </cell>
          <cell r="B67" t="str">
            <v>REQUIREMENT_CONSENT_DT3</v>
          </cell>
          <cell r="C67" t="str">
            <v>datetime</v>
          </cell>
        </row>
        <row r="68">
          <cell r="A68" t="str">
            <v>規定の同意日時4</v>
          </cell>
          <cell r="B68" t="str">
            <v>REQUIREMENT_CONSENT_DT4</v>
          </cell>
          <cell r="C68" t="str">
            <v>datetime</v>
          </cell>
        </row>
        <row r="69">
          <cell r="A69" t="str">
            <v>規定の同意日時5</v>
          </cell>
          <cell r="B69" t="str">
            <v>REQUIREMENT_CONSENT_DT5</v>
          </cell>
          <cell r="C69" t="str">
            <v>datetime</v>
          </cell>
        </row>
        <row r="70">
          <cell r="A70" t="str">
            <v>規定の同意日時6</v>
          </cell>
          <cell r="B70" t="str">
            <v>REQUIREMENT_CONSENT_DT6</v>
          </cell>
          <cell r="C70" t="str">
            <v>datetime</v>
          </cell>
        </row>
        <row r="71">
          <cell r="A71" t="str">
            <v>規定の同意日時7</v>
          </cell>
          <cell r="B71" t="str">
            <v>REQUIREMENT_CONSENT_DT7</v>
          </cell>
          <cell r="C71" t="str">
            <v>datetime</v>
          </cell>
        </row>
        <row r="72">
          <cell r="A72" t="str">
            <v>規定の同意日時8</v>
          </cell>
          <cell r="B72" t="str">
            <v>REQUIREMENT_CONSENT_DT8</v>
          </cell>
          <cell r="C72" t="str">
            <v>datetime</v>
          </cell>
        </row>
        <row r="73">
          <cell r="A73" t="str">
            <v>規定の同意日時9</v>
          </cell>
          <cell r="B73" t="str">
            <v>REQUIREMENT_CONSENT_DT9</v>
          </cell>
          <cell r="C73" t="str">
            <v>datetime</v>
          </cell>
        </row>
        <row r="74">
          <cell r="A74" t="str">
            <v>キャンペンコード</v>
          </cell>
          <cell r="B74" t="str">
            <v>CAMPAIGN_CD</v>
          </cell>
          <cell r="C74" t="str">
            <v>nvarchar</v>
          </cell>
          <cell r="D74">
            <v>128</v>
          </cell>
        </row>
        <row r="75">
          <cell r="A75" t="str">
            <v>紹介者のお客様コード</v>
          </cell>
          <cell r="B75" t="str">
            <v>INTRODUCE_CUSTOMER_CD</v>
          </cell>
          <cell r="C75" t="str">
            <v>char</v>
          </cell>
          <cell r="D75">
            <v>12</v>
          </cell>
        </row>
        <row r="76">
          <cell r="A76" t="str">
            <v>メールニュースの配信</v>
          </cell>
          <cell r="B76" t="str">
            <v>MAIL_NEWS_DELIVERY_FLG</v>
          </cell>
          <cell r="C76" t="str">
            <v>char</v>
          </cell>
          <cell r="D76">
            <v>1</v>
          </cell>
        </row>
        <row r="77">
          <cell r="A77" t="str">
            <v>法人名</v>
          </cell>
          <cell r="B77" t="str">
            <v>CORPORATION_NAME</v>
          </cell>
          <cell r="C77" t="str">
            <v>nvarchar</v>
          </cell>
          <cell r="D77">
            <v>128</v>
          </cell>
        </row>
        <row r="78">
          <cell r="A78" t="str">
            <v>法人名カナ</v>
          </cell>
          <cell r="B78" t="str">
            <v>CORPORATION_NAME_KANA</v>
          </cell>
          <cell r="C78" t="str">
            <v>nvarchar</v>
          </cell>
          <cell r="D78">
            <v>300</v>
          </cell>
        </row>
        <row r="79">
          <cell r="A79" t="str">
            <v>法人郵便番号</v>
          </cell>
          <cell r="B79" t="str">
            <v>CORPORATION_POSTAL_CODE</v>
          </cell>
          <cell r="C79" t="str">
            <v>varchar</v>
          </cell>
          <cell r="D79">
            <v>8</v>
          </cell>
        </row>
        <row r="80">
          <cell r="A80" t="str">
            <v>法人住所1</v>
          </cell>
          <cell r="B80" t="str">
            <v>CORPORATION_ADDR1</v>
          </cell>
          <cell r="C80" t="str">
            <v>nvarchar</v>
          </cell>
          <cell r="D80">
            <v>128</v>
          </cell>
        </row>
        <row r="81">
          <cell r="A81" t="str">
            <v>法人住所2</v>
          </cell>
          <cell r="B81" t="str">
            <v>CORPORATION_ADDR2</v>
          </cell>
          <cell r="C81" t="str">
            <v>nvarchar</v>
          </cell>
          <cell r="D81">
            <v>128</v>
          </cell>
        </row>
        <row r="82">
          <cell r="A82" t="str">
            <v>法人電話番号</v>
          </cell>
          <cell r="B82" t="str">
            <v>CORPORATION_TEL</v>
          </cell>
          <cell r="C82" t="str">
            <v>varchar</v>
          </cell>
          <cell r="D82">
            <v>24</v>
          </cell>
        </row>
        <row r="83">
          <cell r="A83" t="str">
            <v>設立年月日</v>
          </cell>
          <cell r="B83" t="str">
            <v>ESTABLISHMENT_D</v>
          </cell>
          <cell r="C83" t="str">
            <v>datetime</v>
          </cell>
        </row>
        <row r="84">
          <cell r="A84" t="str">
            <v>課税区分</v>
          </cell>
          <cell r="B84" t="str">
            <v>TAXABLE_CLS</v>
          </cell>
          <cell r="C84" t="str">
            <v>char</v>
          </cell>
          <cell r="D84">
            <v>1</v>
          </cell>
        </row>
        <row r="85">
          <cell r="A85" t="str">
            <v>資本金</v>
          </cell>
          <cell r="B85" t="str">
            <v>CAPITAL_CLS</v>
          </cell>
          <cell r="C85" t="str">
            <v>char</v>
          </cell>
          <cell r="D85">
            <v>2</v>
          </cell>
        </row>
        <row r="86">
          <cell r="A86" t="str">
            <v>決算月日</v>
          </cell>
          <cell r="B86" t="str">
            <v>CLOSING_DATE_MD</v>
          </cell>
          <cell r="C86" t="str">
            <v>char</v>
          </cell>
          <cell r="D86">
            <v>4</v>
          </cell>
        </row>
        <row r="87">
          <cell r="A87" t="str">
            <v>事業内容</v>
          </cell>
          <cell r="B87" t="str">
            <v>BUSINESS_CONTENTS_CLS</v>
          </cell>
          <cell r="C87" t="str">
            <v>char</v>
          </cell>
          <cell r="D87">
            <v>2</v>
          </cell>
        </row>
        <row r="88">
          <cell r="A88" t="str">
            <v>事業内容その他</v>
          </cell>
          <cell r="B88" t="str">
            <v>BUSINESS_CONTENTS_OTHER</v>
          </cell>
          <cell r="C88" t="str">
            <v>nvarchar</v>
          </cell>
          <cell r="D88">
            <v>128</v>
          </cell>
        </row>
        <row r="89">
          <cell r="A89" t="str">
            <v>法人番号</v>
          </cell>
          <cell r="B89" t="str">
            <v>CORPORATION_CODE</v>
          </cell>
          <cell r="C89" t="str">
            <v>varchar</v>
          </cell>
          <cell r="D89">
            <v>13</v>
          </cell>
        </row>
        <row r="90">
          <cell r="A90" t="str">
            <v>米国法人</v>
          </cell>
          <cell r="B90" t="str">
            <v>AMERICAN_CORPORATION_FLG</v>
          </cell>
          <cell r="C90" t="str">
            <v>char</v>
          </cell>
          <cell r="D90">
            <v>1</v>
          </cell>
        </row>
        <row r="91">
          <cell r="A91" t="str">
            <v>法人居住地国</v>
          </cell>
          <cell r="B91" t="str">
            <v>CORPORATION_RESIDENCE_COUNTRY_CLS</v>
          </cell>
          <cell r="C91" t="str">
            <v>char</v>
          </cell>
          <cell r="D91">
            <v>1</v>
          </cell>
        </row>
        <row r="92">
          <cell r="A92" t="str">
            <v>上場法人等への該当性</v>
          </cell>
          <cell r="B92" t="str">
            <v>LISTING_CORPORATION_FLG</v>
          </cell>
          <cell r="C92" t="str">
            <v>char</v>
          </cell>
          <cell r="D92">
            <v>1</v>
          </cell>
        </row>
        <row r="93">
          <cell r="A93" t="str">
            <v>特定法人への該当性</v>
          </cell>
          <cell r="B93" t="str">
            <v>SPECIFIC_CORPORATION_FLG</v>
          </cell>
          <cell r="C93" t="str">
            <v>char</v>
          </cell>
          <cell r="D93">
            <v>1</v>
          </cell>
        </row>
        <row r="94">
          <cell r="A94" t="str">
            <v>代表者名</v>
          </cell>
          <cell r="B94" t="str">
            <v>DELEGATE_NAME</v>
          </cell>
          <cell r="C94" t="str">
            <v>nvarchar</v>
          </cell>
          <cell r="D94">
            <v>128</v>
          </cell>
        </row>
        <row r="95">
          <cell r="A95" t="str">
            <v>代表者名カナ</v>
          </cell>
          <cell r="B95" t="str">
            <v>DELEGATE_NAME_KANA</v>
          </cell>
          <cell r="C95" t="str">
            <v>nvarchar</v>
          </cell>
          <cell r="D95">
            <v>128</v>
          </cell>
        </row>
        <row r="96">
          <cell r="A96" t="str">
            <v>代表者性別</v>
          </cell>
          <cell r="B96" t="str">
            <v>DELEGATE_GENDER_CLS</v>
          </cell>
          <cell r="C96" t="str">
            <v>char</v>
          </cell>
          <cell r="D96">
            <v>1</v>
          </cell>
        </row>
        <row r="97">
          <cell r="A97" t="str">
            <v>代表者役職</v>
          </cell>
          <cell r="B97" t="str">
            <v>DELEGATE_CORPORATE_POST</v>
          </cell>
          <cell r="C97" t="str">
            <v>nvarchar</v>
          </cell>
          <cell r="D97">
            <v>128</v>
          </cell>
        </row>
        <row r="98">
          <cell r="A98" t="str">
            <v>代表者生年月日</v>
          </cell>
          <cell r="B98" t="str">
            <v>DELEGATE_BIRTH_D</v>
          </cell>
          <cell r="C98" t="str">
            <v>datetime</v>
          </cell>
        </row>
        <row r="99">
          <cell r="A99" t="str">
            <v>取引責任者名</v>
          </cell>
          <cell r="B99" t="str">
            <v>RESPONSIBLE_NAME</v>
          </cell>
          <cell r="C99" t="str">
            <v>nvarchar</v>
          </cell>
          <cell r="D99">
            <v>128</v>
          </cell>
        </row>
        <row r="100">
          <cell r="A100" t="str">
            <v>取引責任者名カナ</v>
          </cell>
          <cell r="B100" t="str">
            <v>RESPONSIBLE_NAME_KANA</v>
          </cell>
          <cell r="C100" t="str">
            <v>nvarchar</v>
          </cell>
          <cell r="D100">
            <v>128</v>
          </cell>
        </row>
        <row r="101">
          <cell r="A101" t="str">
            <v>取引責任者性別</v>
          </cell>
          <cell r="B101" t="str">
            <v>RESPONSIBLE_GENDER_CLS</v>
          </cell>
          <cell r="C101" t="str">
            <v>char</v>
          </cell>
          <cell r="D101">
            <v>1</v>
          </cell>
        </row>
        <row r="102">
          <cell r="A102" t="str">
            <v>取引責任者役職名</v>
          </cell>
          <cell r="B102" t="str">
            <v>RESPONSIBLE_CORPORATE_POST</v>
          </cell>
          <cell r="C102" t="str">
            <v>nvarchar</v>
          </cell>
          <cell r="D102">
            <v>128</v>
          </cell>
        </row>
        <row r="103">
          <cell r="A103" t="str">
            <v>取引責任者国籍区分</v>
          </cell>
          <cell r="B103" t="str">
            <v>RESPONSIBLE_CITIZENSHIP_CLS</v>
          </cell>
          <cell r="C103" t="str">
            <v>char</v>
          </cell>
          <cell r="D103">
            <v>1</v>
          </cell>
        </row>
        <row r="104">
          <cell r="A104" t="str">
            <v>取引責任者国籍</v>
          </cell>
          <cell r="B104" t="str">
            <v>RESPONSIBLE_CITIZENSHIP</v>
          </cell>
          <cell r="C104" t="str">
            <v>nvarchar</v>
          </cell>
          <cell r="D104">
            <v>128</v>
          </cell>
        </row>
        <row r="105">
          <cell r="A105" t="str">
            <v>取引責任者国籍（その他情報）</v>
          </cell>
          <cell r="B105" t="str">
            <v>RESPONSIBLE_CITIZENSHIP_OTHER</v>
          </cell>
          <cell r="C105" t="str">
            <v>nvarchar</v>
          </cell>
          <cell r="D105">
            <v>128</v>
          </cell>
        </row>
        <row r="106">
          <cell r="A106" t="str">
            <v>取引責任者生年月日</v>
          </cell>
          <cell r="B106" t="str">
            <v>RESPONSIBLE_BIRTH_D</v>
          </cell>
          <cell r="C106" t="str">
            <v>datetime</v>
          </cell>
        </row>
        <row r="107">
          <cell r="A107" t="str">
            <v>取引責任者居住地国</v>
          </cell>
          <cell r="B107" t="str">
            <v>RESPONSIBLE_RESIDENCE_COUNTRY_CLS</v>
          </cell>
          <cell r="C107" t="str">
            <v>char</v>
          </cell>
          <cell r="D107">
            <v>1</v>
          </cell>
        </row>
        <row r="108">
          <cell r="A108" t="str">
            <v>取引責任者郵便番号</v>
          </cell>
          <cell r="B108" t="str">
            <v>RESPONSIBLE_POSTAL_CODE</v>
          </cell>
          <cell r="C108" t="str">
            <v>varchar</v>
          </cell>
          <cell r="D108">
            <v>8</v>
          </cell>
        </row>
        <row r="109">
          <cell r="A109" t="str">
            <v>取引責任者住所1</v>
          </cell>
          <cell r="B109" t="str">
            <v>RESPONSIBLE_ADDR1</v>
          </cell>
          <cell r="C109" t="str">
            <v>nvarchar</v>
          </cell>
          <cell r="D109">
            <v>128</v>
          </cell>
        </row>
        <row r="110">
          <cell r="A110" t="str">
            <v>取引責任者住所2</v>
          </cell>
          <cell r="B110" t="str">
            <v>RESPONSIBLE_ADDR2</v>
          </cell>
          <cell r="C110" t="str">
            <v>nvarchar</v>
          </cell>
          <cell r="D110">
            <v>128</v>
          </cell>
        </row>
        <row r="111">
          <cell r="A111" t="str">
            <v>取引責任者所属部署</v>
          </cell>
          <cell r="B111" t="str">
            <v>RESPONSIBLE_OWN_DEPARTMENT</v>
          </cell>
          <cell r="C111" t="str">
            <v>nvarchar</v>
          </cell>
          <cell r="D111">
            <v>128</v>
          </cell>
        </row>
        <row r="112">
          <cell r="A112" t="str">
            <v>取引責任者連絡先</v>
          </cell>
          <cell r="B112" t="str">
            <v>RESPONSIBLE_CONTACT_TEL</v>
          </cell>
          <cell r="C112" t="str">
            <v>varchar</v>
          </cell>
          <cell r="D112">
            <v>24</v>
          </cell>
        </row>
        <row r="113">
          <cell r="A113" t="str">
            <v>取引責任者その他連絡先</v>
          </cell>
          <cell r="B113" t="str">
            <v>RESPONSIBLE_OTHER_CONTACT_TEL</v>
          </cell>
          <cell r="C113" t="str">
            <v>varchar</v>
          </cell>
          <cell r="D113">
            <v>24</v>
          </cell>
        </row>
        <row r="114">
          <cell r="A114" t="str">
            <v>取引責任者メールアドレス</v>
          </cell>
          <cell r="B114" t="str">
            <v>RESPONSIBLE_MAIL_ADDRESS</v>
          </cell>
          <cell r="C114" t="str">
            <v>varchar</v>
          </cell>
          <cell r="D114">
            <v>256</v>
          </cell>
        </row>
        <row r="115">
          <cell r="A115" t="str">
            <v>支配者種別区分</v>
          </cell>
          <cell r="B115" t="str">
            <v>CONTROL_GROUP_CLS</v>
          </cell>
          <cell r="C115" t="str">
            <v>char</v>
          </cell>
          <cell r="D115">
            <v>2</v>
          </cell>
        </row>
        <row r="116">
          <cell r="A116" t="str">
            <v>支配者関係区分</v>
          </cell>
          <cell r="B116" t="str">
            <v>CONTROL_RELATIONSHIP_CLS</v>
          </cell>
          <cell r="C116" t="str">
            <v>char</v>
          </cell>
          <cell r="D116">
            <v>2</v>
          </cell>
        </row>
        <row r="117">
          <cell r="A117" t="str">
            <v>支配者議決権割合</v>
          </cell>
          <cell r="B117" t="str">
            <v>CONTROL_VOTING_RIGHT_RATIO</v>
          </cell>
          <cell r="C117" t="str">
            <v>numeric</v>
          </cell>
          <cell r="D117">
            <v>3</v>
          </cell>
        </row>
        <row r="118">
          <cell r="A118" t="str">
            <v>支配者名</v>
          </cell>
          <cell r="B118" t="str">
            <v>CONTROL_NAME</v>
          </cell>
          <cell r="C118" t="str">
            <v>nvarchar</v>
          </cell>
          <cell r="D118">
            <v>128</v>
          </cell>
        </row>
        <row r="119">
          <cell r="A119" t="str">
            <v>支配者名カナ</v>
          </cell>
          <cell r="B119" t="str">
            <v>CONTROL_NAME_KANA</v>
          </cell>
          <cell r="C119" t="str">
            <v>nvarchar</v>
          </cell>
          <cell r="D119">
            <v>128</v>
          </cell>
        </row>
        <row r="120">
          <cell r="A120" t="str">
            <v>支配者生年月日</v>
          </cell>
          <cell r="B120" t="str">
            <v>CONTROL_BIRTH_DATE</v>
          </cell>
          <cell r="C120" t="str">
            <v>datetime</v>
          </cell>
        </row>
        <row r="121">
          <cell r="A121" t="str">
            <v>支配者性別</v>
          </cell>
          <cell r="B121" t="str">
            <v>CONTROL_GENDER_CLS</v>
          </cell>
          <cell r="C121" t="str">
            <v>char</v>
          </cell>
          <cell r="D121">
            <v>2</v>
          </cell>
        </row>
        <row r="122">
          <cell r="A122" t="str">
            <v>支配者郵便番号</v>
          </cell>
          <cell r="B122" t="str">
            <v>CONTROL_POSTAL_CODE</v>
          </cell>
          <cell r="C122" t="str">
            <v>varchar</v>
          </cell>
          <cell r="D122">
            <v>8</v>
          </cell>
        </row>
        <row r="123">
          <cell r="A123" t="str">
            <v>支配者住所1</v>
          </cell>
          <cell r="B123" t="str">
            <v>CONTROL_ADDR1</v>
          </cell>
          <cell r="C123" t="str">
            <v>nvarchar</v>
          </cell>
          <cell r="D123">
            <v>128</v>
          </cell>
        </row>
        <row r="124">
          <cell r="A124" t="str">
            <v>支配者住所2</v>
          </cell>
          <cell r="B124" t="str">
            <v>CONTROL_ADDR2</v>
          </cell>
          <cell r="C124" t="str">
            <v>nvarchar</v>
          </cell>
          <cell r="D124">
            <v>128</v>
          </cell>
        </row>
        <row r="125">
          <cell r="A125" t="str">
            <v>支配者居住地国区分</v>
          </cell>
          <cell r="B125" t="str">
            <v>CONTROL_RESIDENCE_COUNTRY_CLS</v>
          </cell>
          <cell r="C125" t="str">
            <v>char</v>
          </cell>
          <cell r="D125">
            <v>2</v>
          </cell>
        </row>
        <row r="126">
          <cell r="A126" t="str">
            <v>支配者米国納税義務</v>
          </cell>
          <cell r="B126" t="str">
            <v>CONTROL_FATCA_FLG</v>
          </cell>
          <cell r="C126" t="str">
            <v>char</v>
          </cell>
          <cell r="D126">
            <v>1</v>
          </cell>
        </row>
        <row r="127">
          <cell r="A127" t="str">
            <v>支配者外国の重要な公人</v>
          </cell>
          <cell r="B127" t="str">
            <v>CONTROL_ALIEN_PEPS_FLG</v>
          </cell>
          <cell r="C127" t="str">
            <v>char</v>
          </cell>
          <cell r="D127">
            <v>1</v>
          </cell>
        </row>
        <row r="128">
          <cell r="A128" t="str">
            <v>法人金融資産</v>
          </cell>
          <cell r="B128" t="str">
            <v>CORPORATION_FINANCIAL_ASSET_CLS</v>
          </cell>
          <cell r="C128" t="str">
            <v>char</v>
          </cell>
          <cell r="D128">
            <v>2</v>
          </cell>
        </row>
        <row r="129">
          <cell r="A129" t="str">
            <v>法人投資目的</v>
          </cell>
          <cell r="B129" t="str">
            <v>CORPORATION_INVEST_PURPOSE_CLS</v>
          </cell>
          <cell r="C129" t="str">
            <v>char</v>
          </cell>
          <cell r="D129">
            <v>2</v>
          </cell>
        </row>
        <row r="130">
          <cell r="A130" t="str">
            <v>法人投資資金</v>
          </cell>
          <cell r="B130" t="str">
            <v>CORPORATION_INVEST_FUND_CLS</v>
          </cell>
          <cell r="C130" t="str">
            <v>char</v>
          </cell>
          <cell r="D130">
            <v>2</v>
          </cell>
        </row>
        <row r="131">
          <cell r="A131" t="str">
            <v>法人投資資金その他</v>
          </cell>
          <cell r="B131" t="str">
            <v>CORPORATION_INVEST_FUNDOTHER</v>
          </cell>
          <cell r="C131" t="str">
            <v>nvarchar</v>
          </cell>
          <cell r="D131">
            <v>128</v>
          </cell>
        </row>
        <row r="132">
          <cell r="A132" t="str">
            <v>口座開設の動機</v>
          </cell>
          <cell r="B132" t="str">
            <v>ACCOUNT_OPEN_MOTIVE_CLS</v>
          </cell>
          <cell r="C132" t="str">
            <v>char</v>
          </cell>
          <cell r="D132">
            <v>2</v>
          </cell>
        </row>
        <row r="133">
          <cell r="A133" t="str">
            <v>口座開設の動機その他</v>
          </cell>
          <cell r="B133" t="str">
            <v>ACCOUNT_OPEN_MOTIVE_OTHER</v>
          </cell>
          <cell r="C133" t="str">
            <v>nvarchar</v>
          </cell>
          <cell r="D133">
            <v>128</v>
          </cell>
        </row>
        <row r="134">
          <cell r="A134" t="str">
            <v>投資経験1</v>
          </cell>
          <cell r="B134" t="str">
            <v>INVESTMENTS_EXPERIENCE_CLS1</v>
          </cell>
          <cell r="C134" t="str">
            <v>char</v>
          </cell>
          <cell r="D134">
            <v>2</v>
          </cell>
        </row>
        <row r="135">
          <cell r="A135" t="str">
            <v>投資経験2</v>
          </cell>
          <cell r="B135" t="str">
            <v>INVESTMENTS_EXPERIENCE_CLS2</v>
          </cell>
          <cell r="C135" t="str">
            <v>char</v>
          </cell>
          <cell r="D135">
            <v>2</v>
          </cell>
        </row>
        <row r="136">
          <cell r="A136" t="str">
            <v>投資経験3</v>
          </cell>
          <cell r="B136" t="str">
            <v>INVESTMENTS_EXPERIENCE_CLS3</v>
          </cell>
          <cell r="C136" t="str">
            <v>char</v>
          </cell>
          <cell r="D136">
            <v>2</v>
          </cell>
        </row>
        <row r="137">
          <cell r="A137" t="str">
            <v>投資経験4</v>
          </cell>
          <cell r="B137" t="str">
            <v>INVESTMENTS_EXPERIENCE_CLS4</v>
          </cell>
          <cell r="C137" t="str">
            <v>char</v>
          </cell>
          <cell r="D137">
            <v>2</v>
          </cell>
        </row>
        <row r="138">
          <cell r="A138" t="str">
            <v>投資経験5</v>
          </cell>
          <cell r="B138" t="str">
            <v>INVESTMENTS_EXPERIENCE_CLS5</v>
          </cell>
          <cell r="C138" t="str">
            <v>char</v>
          </cell>
          <cell r="D138">
            <v>2</v>
          </cell>
        </row>
        <row r="139">
          <cell r="A139" t="str">
            <v>投資経験6</v>
          </cell>
          <cell r="B139" t="str">
            <v>INVESTMENTS_EXPERIENCE_CLS6</v>
          </cell>
          <cell r="C139" t="str">
            <v>char</v>
          </cell>
          <cell r="D139">
            <v>2</v>
          </cell>
        </row>
        <row r="140">
          <cell r="A140" t="str">
            <v>投資経験7</v>
          </cell>
          <cell r="B140" t="str">
            <v>INVESTMENTS_EXPERIENCE_CLS7</v>
          </cell>
          <cell r="C140" t="str">
            <v>char</v>
          </cell>
          <cell r="D140">
            <v>2</v>
          </cell>
        </row>
        <row r="141">
          <cell r="A141" t="str">
            <v>投資経験8</v>
          </cell>
          <cell r="B141" t="str">
            <v>INVESTMENTS_EXPERIENCE_CLS8</v>
          </cell>
          <cell r="C141" t="str">
            <v>char</v>
          </cell>
          <cell r="D141">
            <v>2</v>
          </cell>
        </row>
        <row r="142">
          <cell r="A142" t="str">
            <v>興味のある投資商品1</v>
          </cell>
          <cell r="B142" t="str">
            <v>APPETITE_FLG1</v>
          </cell>
          <cell r="C142" t="str">
            <v>char</v>
          </cell>
          <cell r="D142">
            <v>1</v>
          </cell>
        </row>
        <row r="143">
          <cell r="A143" t="str">
            <v>興味のある投資商品2</v>
          </cell>
          <cell r="B143" t="str">
            <v>APPETITE_FLG2</v>
          </cell>
          <cell r="C143" t="str">
            <v>char</v>
          </cell>
          <cell r="D143">
            <v>1</v>
          </cell>
        </row>
        <row r="144">
          <cell r="A144" t="str">
            <v>興味のある投資商品3</v>
          </cell>
          <cell r="B144" t="str">
            <v>APPETITE_FLG3</v>
          </cell>
          <cell r="C144" t="str">
            <v>char</v>
          </cell>
          <cell r="D144">
            <v>1</v>
          </cell>
        </row>
        <row r="145">
          <cell r="A145" t="str">
            <v>興味のある投資商品4</v>
          </cell>
          <cell r="B145" t="str">
            <v>APPETITE_FLG4</v>
          </cell>
          <cell r="C145" t="str">
            <v>char</v>
          </cell>
          <cell r="D145">
            <v>1</v>
          </cell>
        </row>
        <row r="146">
          <cell r="A146" t="str">
            <v>興味のある投資商品5</v>
          </cell>
          <cell r="B146" t="str">
            <v>APPETITE_FLG5</v>
          </cell>
          <cell r="C146" t="str">
            <v>char</v>
          </cell>
          <cell r="D146">
            <v>1</v>
          </cell>
        </row>
        <row r="147">
          <cell r="A147" t="str">
            <v>興味のある投資商品6</v>
          </cell>
          <cell r="B147" t="str">
            <v>APPETITE_FLG6</v>
          </cell>
          <cell r="C147" t="str">
            <v>char</v>
          </cell>
          <cell r="D147">
            <v>1</v>
          </cell>
        </row>
        <row r="148">
          <cell r="A148" t="str">
            <v>興味のある投資商品7</v>
          </cell>
          <cell r="B148" t="str">
            <v>APPETITE_FLG7</v>
          </cell>
          <cell r="C148" t="str">
            <v>char</v>
          </cell>
          <cell r="D148">
            <v>1</v>
          </cell>
        </row>
        <row r="149">
          <cell r="A149" t="str">
            <v>興味のある投資商品8</v>
          </cell>
          <cell r="B149" t="str">
            <v>APPETITE_FLG8</v>
          </cell>
          <cell r="C149" t="str">
            <v>char</v>
          </cell>
          <cell r="D149">
            <v>1</v>
          </cell>
        </row>
        <row r="150">
          <cell r="A150" t="str">
            <v>興味のある投資商品その他</v>
          </cell>
          <cell r="B150" t="str">
            <v>APPETITE_OTHER</v>
          </cell>
          <cell r="C150" t="str">
            <v>nvarchar</v>
          </cell>
          <cell r="D150">
            <v>128</v>
          </cell>
        </row>
        <row r="151">
          <cell r="A151" t="str">
            <v>申込言語コード</v>
          </cell>
          <cell r="B151" t="str">
            <v>ENTRY_LANG_CD</v>
          </cell>
          <cell r="C151" t="str">
            <v>char</v>
          </cell>
          <cell r="D151">
            <v>1</v>
          </cell>
        </row>
        <row r="152">
          <cell r="A152" t="str">
            <v>オペレータID</v>
          </cell>
          <cell r="B152" t="str">
            <v>OPERATOR_ID</v>
          </cell>
          <cell r="C152" t="str">
            <v>varchar</v>
          </cell>
          <cell r="D152">
            <v>32</v>
          </cell>
        </row>
        <row r="153">
          <cell r="A153" t="str">
            <v>審査ステータス</v>
          </cell>
          <cell r="B153" t="str">
            <v>JUDGE_STATUS_CLS</v>
          </cell>
          <cell r="C153" t="str">
            <v>char</v>
          </cell>
          <cell r="D153">
            <v>2</v>
          </cell>
        </row>
        <row r="154">
          <cell r="A154" t="str">
            <v>マイナンバー提出ステータス</v>
          </cell>
          <cell r="B154" t="str">
            <v>MY_NUMBER_STATUS_CLS</v>
          </cell>
          <cell r="C154" t="str">
            <v>char</v>
          </cell>
          <cell r="D154">
            <v>1</v>
          </cell>
        </row>
        <row r="155">
          <cell r="A155" t="str">
            <v>マイナンバー確認日時</v>
          </cell>
          <cell r="B155" t="str">
            <v>MY_NUMBER_CHECK_DT</v>
          </cell>
          <cell r="C155" t="str">
            <v>datetime</v>
          </cell>
        </row>
        <row r="156">
          <cell r="A156" t="str">
            <v>マイナンバー確認オペレータID</v>
          </cell>
          <cell r="B156" t="str">
            <v>MY_NUMBER_CHECK_OPERATOR_ID</v>
          </cell>
          <cell r="C156" t="str">
            <v>varchar</v>
          </cell>
          <cell r="D156">
            <v>32</v>
          </cell>
        </row>
        <row r="157">
          <cell r="A157" t="str">
            <v>本人確認書類提出ステータス</v>
          </cell>
          <cell r="B157" t="str">
            <v>IDENTIFICATION_DOCUMENT_STATUS_CLS</v>
          </cell>
          <cell r="C157" t="str">
            <v>char</v>
          </cell>
          <cell r="D157">
            <v>1</v>
          </cell>
        </row>
        <row r="158">
          <cell r="A158" t="str">
            <v>本人確認書類確認日時</v>
          </cell>
          <cell r="B158" t="str">
            <v>IDENTIFICATION_DOCUMENT_CHECK_DT</v>
          </cell>
          <cell r="C158" t="str">
            <v>datetime</v>
          </cell>
        </row>
        <row r="159">
          <cell r="A159" t="str">
            <v>本人確認書類確認オペレータID</v>
          </cell>
          <cell r="B159" t="str">
            <v>IDENTIFICATION_DOCUMENT_CHECK_OPERATOR_ID</v>
          </cell>
          <cell r="C159" t="str">
            <v>varchar</v>
          </cell>
          <cell r="D159">
            <v>32</v>
          </cell>
        </row>
        <row r="160">
          <cell r="A160" t="str">
            <v>IDセルフィー提出ステータス</v>
          </cell>
          <cell r="B160" t="str">
            <v>ID_SELFIE_STATUS_CLS</v>
          </cell>
          <cell r="C160" t="str">
            <v>char</v>
          </cell>
          <cell r="D160">
            <v>1</v>
          </cell>
        </row>
        <row r="161">
          <cell r="A161" t="str">
            <v>IDセルフィー確認日時</v>
          </cell>
          <cell r="B161" t="str">
            <v>ID_SELFIE_CHECK_DT</v>
          </cell>
          <cell r="C161" t="str">
            <v>datetime</v>
          </cell>
        </row>
        <row r="162">
          <cell r="A162" t="str">
            <v>IDセルフィー確認オペレータID</v>
          </cell>
          <cell r="B162" t="str">
            <v>ID_SELFIE_CHECK_OPERATOR_ID</v>
          </cell>
          <cell r="C162" t="str">
            <v>varchar</v>
          </cell>
          <cell r="D162">
            <v>32</v>
          </cell>
        </row>
        <row r="163">
          <cell r="A163" t="str">
            <v>申込基準ステータス</v>
          </cell>
          <cell r="B163" t="str">
            <v>CRITERION_JUDGE_STATUS_CLS</v>
          </cell>
          <cell r="C163" t="str">
            <v>char</v>
          </cell>
          <cell r="D163">
            <v>1</v>
          </cell>
        </row>
        <row r="164">
          <cell r="A164" t="str">
            <v>申込基準審査日時</v>
          </cell>
          <cell r="B164" t="str">
            <v>CRITERION_JUDGE_DT</v>
          </cell>
          <cell r="C164" t="str">
            <v>datetime</v>
          </cell>
        </row>
        <row r="165">
          <cell r="A165" t="str">
            <v>名寄せ・借名ステータス</v>
          </cell>
          <cell r="B165" t="str">
            <v>NAME_IDENTIFICATION_STATUS_CLS</v>
          </cell>
          <cell r="C165" t="str">
            <v>char</v>
          </cell>
          <cell r="D165">
            <v>1</v>
          </cell>
        </row>
        <row r="166">
          <cell r="A166" t="str">
            <v>名寄せ・借名審査日時</v>
          </cell>
          <cell r="B166" t="str">
            <v>NAME_IDENTIFICATION_DT</v>
          </cell>
          <cell r="C166" t="str">
            <v>datetime</v>
          </cell>
        </row>
        <row r="167">
          <cell r="A167" t="str">
            <v>承認フラグ</v>
          </cell>
          <cell r="B167" t="str">
            <v>APPROVAL_FLG</v>
          </cell>
          <cell r="C167" t="str">
            <v>char</v>
          </cell>
          <cell r="D167">
            <v>1</v>
          </cell>
        </row>
        <row r="168">
          <cell r="A168" t="str">
            <v>承認日時</v>
          </cell>
          <cell r="B168" t="str">
            <v>APPROVAL_DT</v>
          </cell>
          <cell r="C168" t="str">
            <v>datetime</v>
          </cell>
        </row>
        <row r="169">
          <cell r="A169" t="str">
            <v>承認オペレータID</v>
          </cell>
          <cell r="B169" t="str">
            <v>APPROVAL_OPERATOR_ID</v>
          </cell>
          <cell r="C169" t="str">
            <v>varchar</v>
          </cell>
          <cell r="D169">
            <v>32</v>
          </cell>
        </row>
        <row r="170">
          <cell r="A170" t="str">
            <v>審査備考</v>
          </cell>
          <cell r="B170" t="str">
            <v>JUDGE_NOTE</v>
          </cell>
          <cell r="C170" t="str">
            <v>nvarchar</v>
          </cell>
          <cell r="D170" t="str">
            <v>max</v>
          </cell>
        </row>
        <row r="171">
          <cell r="A171" t="str">
            <v>審査種別</v>
          </cell>
          <cell r="B171" t="str">
            <v>JUDGE_TYPE_CLS</v>
          </cell>
          <cell r="C171" t="str">
            <v>char</v>
          </cell>
          <cell r="D171">
            <v>2</v>
          </cell>
        </row>
        <row r="172">
          <cell r="A172" t="str">
            <v>自動審査種別</v>
          </cell>
          <cell r="B172" t="str">
            <v>AUTO_JUDGE_TYPE_CLS</v>
          </cell>
          <cell r="C172" t="str">
            <v>char</v>
          </cell>
          <cell r="D172">
            <v>2</v>
          </cell>
        </row>
        <row r="173">
          <cell r="A173" t="str">
            <v>比較対象申込コード</v>
          </cell>
          <cell r="B173" t="str">
            <v>COMPAR_ENTRY_CD</v>
          </cell>
          <cell r="C173" t="str">
            <v>numeric</v>
          </cell>
          <cell r="D173">
            <v>12</v>
          </cell>
        </row>
        <row r="174">
          <cell r="A174" t="str">
            <v>比較対象部店コード</v>
          </cell>
          <cell r="B174" t="str">
            <v>COMPAR_BRANCH_CD</v>
          </cell>
          <cell r="C174" t="str">
            <v>char</v>
          </cell>
          <cell r="D174">
            <v>3</v>
          </cell>
        </row>
        <row r="175">
          <cell r="A175" t="str">
            <v>比較対象顧客コード</v>
          </cell>
          <cell r="B175" t="str">
            <v>COMPAR_CUSTOMER_CD</v>
          </cell>
          <cell r="C175" t="str">
            <v>char</v>
          </cell>
          <cell r="D175">
            <v>6</v>
          </cell>
        </row>
        <row r="176">
          <cell r="A176" t="str">
            <v>比較対象区分</v>
          </cell>
          <cell r="B176" t="str">
            <v>COMPAR_ENTRY_CLS</v>
          </cell>
          <cell r="C176" t="str">
            <v>char</v>
          </cell>
          <cell r="D176">
            <v>2</v>
          </cell>
        </row>
        <row r="177">
          <cell r="A177" t="str">
            <v>エラーコード</v>
          </cell>
          <cell r="B177" t="str">
            <v>ERROR_CD</v>
          </cell>
          <cell r="C177" t="str">
            <v>numeric</v>
          </cell>
          <cell r="D177">
            <v>4</v>
          </cell>
        </row>
        <row r="178">
          <cell r="A178" t="str">
            <v>エラー備考</v>
          </cell>
          <cell r="B178" t="str">
            <v>ERROR_NOTES</v>
          </cell>
          <cell r="C178" t="str">
            <v>nvarchar</v>
          </cell>
          <cell r="D178">
            <v>64</v>
          </cell>
        </row>
        <row r="179">
          <cell r="A179" t="str">
            <v>審査結果ステータス</v>
          </cell>
          <cell r="B179" t="str">
            <v>JUDGE_RESULT_STATUS_CLS</v>
          </cell>
          <cell r="C179" t="str">
            <v>char</v>
          </cell>
          <cell r="D179">
            <v>2</v>
          </cell>
        </row>
        <row r="180">
          <cell r="A180" t="str">
            <v>審査結果日時</v>
          </cell>
          <cell r="B180" t="str">
            <v>JUDGE_RESULT_DT</v>
          </cell>
          <cell r="C180" t="str">
            <v>datetime</v>
          </cell>
        </row>
        <row r="181">
          <cell r="A181" t="str">
            <v>ドキュメント表裏区分</v>
          </cell>
          <cell r="B181" t="str">
            <v>DOCUMENT_FACE_REAR_CLS</v>
          </cell>
          <cell r="C181" t="str">
            <v>char</v>
          </cell>
          <cell r="D181">
            <v>1</v>
          </cell>
        </row>
        <row r="182">
          <cell r="A182" t="str">
            <v>ログインID</v>
          </cell>
          <cell r="B182" t="str">
            <v>LOGIN_ID</v>
          </cell>
          <cell r="C182" t="str">
            <v>varchar</v>
          </cell>
          <cell r="D182">
            <v>200</v>
          </cell>
        </row>
        <row r="183">
          <cell r="A183" t="str">
            <v>ログインパスワード</v>
          </cell>
          <cell r="B183" t="str">
            <v>CRYPT_LOGIN_PW</v>
          </cell>
          <cell r="C183" t="str">
            <v>varbinary</v>
          </cell>
          <cell r="D183" t="str">
            <v>max</v>
          </cell>
        </row>
        <row r="184">
          <cell r="A184" t="str">
            <v>口座確認日時</v>
          </cell>
          <cell r="B184" t="str">
            <v>ACCOUNT_OPEN_DT</v>
          </cell>
          <cell r="C184" t="str">
            <v>datetime</v>
          </cell>
        </row>
        <row r="185">
          <cell r="A185" t="str">
            <v>口座確認オペレータID</v>
          </cell>
          <cell r="B185" t="str">
            <v>ACCOUNT_OPEN_OPERATOR_ID</v>
          </cell>
          <cell r="C185" t="str">
            <v>varchar</v>
          </cell>
          <cell r="D185">
            <v>32</v>
          </cell>
        </row>
        <row r="186">
          <cell r="A186" t="str">
            <v>口座開設日</v>
          </cell>
          <cell r="B186" t="str">
            <v>ACCOUNT_OPEN_D</v>
          </cell>
          <cell r="C186" t="str">
            <v>datetime</v>
          </cell>
        </row>
        <row r="187">
          <cell r="A187" t="str">
            <v>口座情報変更申込コード</v>
          </cell>
          <cell r="B187" t="str">
            <v>ACCOUNT_CHANGE_ENTRY_CD</v>
          </cell>
          <cell r="C187" t="str">
            <v>numeric</v>
          </cell>
          <cell r="D187">
            <v>12</v>
          </cell>
        </row>
        <row r="188">
          <cell r="A188" t="str">
            <v>口座情報変更日</v>
          </cell>
          <cell r="B188" t="str">
            <v>ACCOUNT_CHANGE_D</v>
          </cell>
          <cell r="C188" t="str">
            <v>datetime</v>
          </cell>
        </row>
        <row r="189">
          <cell r="A189" t="str">
            <v>顧客タイプ</v>
          </cell>
          <cell r="B189" t="str">
            <v>CUSTOMER_TYPE_CLS</v>
          </cell>
          <cell r="C189" t="str">
            <v>numeric</v>
          </cell>
          <cell r="D189">
            <v>2</v>
          </cell>
        </row>
        <row r="190">
          <cell r="A190" t="str">
            <v>入金口座番号</v>
          </cell>
          <cell r="B190" t="str">
            <v>BANK_DEP_ACCOUNT_NUM</v>
          </cell>
          <cell r="C190" t="str">
            <v>varchar</v>
          </cell>
          <cell r="D190">
            <v>24</v>
          </cell>
        </row>
        <row r="191">
          <cell r="A191" t="str">
            <v>ドキュメント有効期限</v>
          </cell>
          <cell r="B191" t="str">
            <v>DOCUMENT_VALIDATED_D</v>
          </cell>
          <cell r="C191" t="str">
            <v>datetime</v>
          </cell>
        </row>
        <row r="192">
          <cell r="A192" t="str">
            <v>英字姓</v>
          </cell>
          <cell r="B192" t="str">
            <v>LAST_NAME_ALPHA</v>
          </cell>
          <cell r="C192" t="str">
            <v>nvarchar</v>
          </cell>
          <cell r="D192">
            <v>128</v>
          </cell>
        </row>
        <row r="193">
          <cell r="A193" t="str">
            <v>ミドル英字名</v>
          </cell>
          <cell r="B193" t="str">
            <v>MIDDLE_NAME_ALPHA</v>
          </cell>
          <cell r="C193" t="str">
            <v>nvarchar</v>
          </cell>
          <cell r="D193">
            <v>128</v>
          </cell>
        </row>
        <row r="194">
          <cell r="A194" t="str">
            <v>英字名</v>
          </cell>
          <cell r="B194" t="str">
            <v>FIRST_NAME_ALPHA</v>
          </cell>
          <cell r="C194" t="str">
            <v>nvarchar</v>
          </cell>
          <cell r="D194">
            <v>128</v>
          </cell>
        </row>
        <row r="195">
          <cell r="A195" t="str">
            <v>所属部署</v>
          </cell>
          <cell r="B195" t="str">
            <v>OWN_DEPARTMENT</v>
          </cell>
          <cell r="C195" t="str">
            <v>nvarchar</v>
          </cell>
          <cell r="D195">
            <v>128</v>
          </cell>
        </row>
        <row r="196">
          <cell r="A196" t="str">
            <v>役職</v>
          </cell>
          <cell r="B196" t="str">
            <v>OFFICIAL_POSITION_CLS</v>
          </cell>
          <cell r="C196" t="str">
            <v>char</v>
          </cell>
          <cell r="D196">
            <v>1</v>
          </cell>
        </row>
        <row r="197">
          <cell r="A197" t="str">
            <v>内部者情報</v>
          </cell>
          <cell r="B197" t="str">
            <v>INSIDER_FLG</v>
          </cell>
          <cell r="C197" t="str">
            <v>char</v>
          </cell>
          <cell r="D197">
            <v>1</v>
          </cell>
        </row>
        <row r="198">
          <cell r="A198" t="str">
            <v>内部者情報（詳細）</v>
          </cell>
          <cell r="B198" t="str">
            <v>INSIDER_DETAIL</v>
          </cell>
          <cell r="C198" t="str">
            <v>nvarchar</v>
          </cell>
          <cell r="D198">
            <v>128</v>
          </cell>
        </row>
        <row r="199">
          <cell r="A199" t="str">
            <v>取引責任者の兼任等</v>
          </cell>
          <cell r="B199" t="str">
            <v>ADDITIONAL_POST_CLS</v>
          </cell>
          <cell r="C199" t="str">
            <v>char</v>
          </cell>
          <cell r="D199">
            <v>1</v>
          </cell>
        </row>
        <row r="200">
          <cell r="A200" t="str">
            <v>FX申込区分</v>
          </cell>
          <cell r="B200" t="str">
            <v>SMART_FX_ENTRY_CLS</v>
          </cell>
          <cell r="C200" t="str">
            <v>char</v>
          </cell>
          <cell r="D200">
            <v>1</v>
          </cell>
        </row>
        <row r="201">
          <cell r="A201" t="str">
            <v>純金積立申込区分</v>
          </cell>
          <cell r="B201" t="str">
            <v>SMART_GOLD_ENTRY_CLS</v>
          </cell>
          <cell r="C201" t="str">
            <v>char</v>
          </cell>
          <cell r="D201">
            <v>1</v>
          </cell>
        </row>
        <row r="202">
          <cell r="A202" t="str">
            <v>海外送金申込区分</v>
          </cell>
          <cell r="B202" t="str">
            <v>SMART_FREMIT_ENTRY_CLS</v>
          </cell>
          <cell r="C202" t="str">
            <v>char</v>
          </cell>
          <cell r="D202">
            <v>1</v>
          </cell>
        </row>
        <row r="203">
          <cell r="A203" t="str">
            <v>株式現物取引申込区分</v>
          </cell>
          <cell r="B203" t="str">
            <v>SMART_TRADE_ENTRY_CLS</v>
          </cell>
          <cell r="C203" t="str">
            <v>char</v>
          </cell>
          <cell r="D203">
            <v>1</v>
          </cell>
        </row>
        <row r="204">
          <cell r="A204" t="str">
            <v>少額ローン申込区分</v>
          </cell>
          <cell r="B204" t="str">
            <v>SMART_LOAN_ENTRY_CLS</v>
          </cell>
          <cell r="C204" t="str">
            <v>char</v>
          </cell>
          <cell r="D204">
            <v>1</v>
          </cell>
        </row>
        <row r="205">
          <cell r="A205" t="str">
            <v>株価指数先物OP申込区分</v>
          </cell>
          <cell r="B205" t="str">
            <v>SMART_OP_ENTRY_CLS</v>
          </cell>
          <cell r="C205" t="str">
            <v>char</v>
          </cell>
          <cell r="D205">
            <v>1</v>
          </cell>
        </row>
        <row r="206">
          <cell r="A206" t="str">
            <v>メール分類</v>
          </cell>
          <cell r="B206" t="str">
            <v>MAIL_CLASSIFICATION_CLS</v>
          </cell>
          <cell r="C206" t="str">
            <v>char</v>
          </cell>
          <cell r="D206">
            <v>2</v>
          </cell>
        </row>
        <row r="207">
          <cell r="A207" t="str">
            <v>メールタイプ</v>
          </cell>
          <cell r="B207" t="str">
            <v>MAIL_TYPE</v>
          </cell>
          <cell r="C207" t="str">
            <v>numeric</v>
          </cell>
          <cell r="D207">
            <v>4</v>
          </cell>
        </row>
        <row r="208">
          <cell r="A208" t="str">
            <v>送信予定日時</v>
          </cell>
          <cell r="B208" t="str">
            <v>SEND_PLAN_DT</v>
          </cell>
          <cell r="C208" t="str">
            <v>datetime</v>
          </cell>
        </row>
        <row r="209">
          <cell r="A209" t="str">
            <v>比較対象個人法人区分</v>
          </cell>
          <cell r="B209" t="str">
            <v>COMPAR_INDIVIDUAL_CLS</v>
          </cell>
          <cell r="C209" t="str">
            <v>char</v>
          </cell>
          <cell r="D209">
            <v>1</v>
          </cell>
        </row>
        <row r="210">
          <cell r="A210" t="str">
            <v>ドキュメント分類</v>
          </cell>
          <cell r="B210" t="str">
            <v>DOCUMENT_CLASSIFICATION_CLS</v>
          </cell>
          <cell r="C210" t="str">
            <v>char</v>
          </cell>
          <cell r="D210">
            <v>2</v>
          </cell>
        </row>
        <row r="211">
          <cell r="A211" t="str">
            <v>適用開始日</v>
          </cell>
          <cell r="B211" t="str">
            <v>START_D</v>
          </cell>
          <cell r="C211" t="str">
            <v>datetime</v>
          </cell>
        </row>
        <row r="212">
          <cell r="A212" t="str">
            <v>適用終了日</v>
          </cell>
          <cell r="B212" t="str">
            <v>END_D</v>
          </cell>
          <cell r="C212" t="str">
            <v>datetime</v>
          </cell>
        </row>
        <row r="213">
          <cell r="A213" t="str">
            <v>税率</v>
          </cell>
          <cell r="B213" t="str">
            <v>TAX_RATE</v>
          </cell>
          <cell r="C213" t="str">
            <v>numeric</v>
          </cell>
          <cell r="D213">
            <v>5</v>
          </cell>
          <cell r="E213">
            <v>4</v>
          </cell>
        </row>
        <row r="214">
          <cell r="A214" t="str">
            <v>手数料率</v>
          </cell>
          <cell r="B214" t="str">
            <v>FEE_RATE</v>
          </cell>
          <cell r="C214" t="str">
            <v>numeric</v>
          </cell>
          <cell r="D214">
            <v>5</v>
          </cell>
          <cell r="E214">
            <v>4</v>
          </cell>
        </row>
        <row r="215">
          <cell r="A215" t="str">
            <v>取引区分</v>
          </cell>
          <cell r="B215" t="str">
            <v>TRADE_CLS</v>
          </cell>
          <cell r="C215" t="str">
            <v>varchar</v>
          </cell>
          <cell r="D215">
            <v>2</v>
          </cell>
        </row>
        <row r="216">
          <cell r="A216" t="str">
            <v>商品コード</v>
          </cell>
          <cell r="B216" t="str">
            <v>COMMODITY_CD</v>
          </cell>
          <cell r="C216" t="str">
            <v>numeric</v>
          </cell>
          <cell r="D216">
            <v>2</v>
          </cell>
        </row>
        <row r="217">
          <cell r="A217" t="str">
            <v>重量_グラムFROM</v>
          </cell>
          <cell r="B217" t="str">
            <v>WEIGHT_GRAM_FROM</v>
          </cell>
          <cell r="C217" t="str">
            <v>numeric</v>
          </cell>
          <cell r="D217">
            <v>8</v>
          </cell>
        </row>
        <row r="218">
          <cell r="A218" t="str">
            <v>重量_グラムTO</v>
          </cell>
          <cell r="B218" t="str">
            <v>WEIGHT_GRAM_TO</v>
          </cell>
          <cell r="C218" t="str">
            <v>numeric</v>
          </cell>
          <cell r="D218">
            <v>8</v>
          </cell>
        </row>
        <row r="219">
          <cell r="A219" t="str">
            <v>手数料額</v>
          </cell>
          <cell r="B219" t="str">
            <v>FEE_AMOUNT</v>
          </cell>
          <cell r="C219" t="str">
            <v>numeric</v>
          </cell>
          <cell r="D219">
            <v>8</v>
          </cell>
        </row>
        <row r="220">
          <cell r="A220" t="str">
            <v>シーケンス番号</v>
          </cell>
          <cell r="B220" t="str">
            <v>SEQ_NO</v>
          </cell>
          <cell r="C220" t="str">
            <v>numeric</v>
          </cell>
          <cell r="D220">
            <v>18</v>
          </cell>
        </row>
        <row r="221">
          <cell r="A221" t="str">
            <v>依頼日</v>
          </cell>
          <cell r="B221" t="str">
            <v>REQUEST_D</v>
          </cell>
          <cell r="C221" t="str">
            <v>datetime</v>
          </cell>
        </row>
        <row r="222">
          <cell r="A222" t="str">
            <v>依頼数量</v>
          </cell>
          <cell r="B222" t="str">
            <v>REQUEST_QUANTITY</v>
          </cell>
          <cell r="C222" t="str">
            <v>numeric</v>
          </cell>
          <cell r="D222">
            <v>16</v>
          </cell>
          <cell r="E222">
            <v>6</v>
          </cell>
        </row>
        <row r="223">
          <cell r="A223" t="str">
            <v>申込日時</v>
          </cell>
          <cell r="B223" t="str">
            <v>APPLY_DT</v>
          </cell>
          <cell r="C223" t="str">
            <v>datetime</v>
          </cell>
        </row>
        <row r="224">
          <cell r="A224" t="str">
            <v>入出庫単価</v>
          </cell>
          <cell r="B224" t="str">
            <v>DELIVERY_PRICE</v>
          </cell>
          <cell r="C224" t="str">
            <v>numeric</v>
          </cell>
          <cell r="D224">
            <v>9</v>
          </cell>
          <cell r="E224">
            <v>2</v>
          </cell>
        </row>
        <row r="225">
          <cell r="A225" t="str">
            <v>確定数量</v>
          </cell>
          <cell r="B225" t="str">
            <v>COMMIT_QUANTITY</v>
          </cell>
          <cell r="C225" t="str">
            <v>numeric</v>
          </cell>
          <cell r="D225">
            <v>16</v>
          </cell>
          <cell r="E225">
            <v>6</v>
          </cell>
        </row>
        <row r="226">
          <cell r="A226" t="str">
            <v>確定日時</v>
          </cell>
          <cell r="B226" t="str">
            <v>COMMIT_DT</v>
          </cell>
          <cell r="C226" t="str">
            <v>datetime</v>
          </cell>
        </row>
        <row r="227">
          <cell r="A227" t="str">
            <v>受渡日</v>
          </cell>
          <cell r="B227" t="str">
            <v>VALUE_D</v>
          </cell>
          <cell r="C227" t="str">
            <v>datetime</v>
          </cell>
        </row>
        <row r="228">
          <cell r="A228" t="str">
            <v>入出庫ステータス</v>
          </cell>
          <cell r="B228" t="str">
            <v>DELIVERY_STATUS</v>
          </cell>
          <cell r="C228" t="str">
            <v>numeric</v>
          </cell>
          <cell r="D228">
            <v>2</v>
          </cell>
        </row>
        <row r="229">
          <cell r="A229" t="str">
            <v>入力経路</v>
          </cell>
          <cell r="B229" t="str">
            <v>INPUT_ROUTE</v>
          </cell>
          <cell r="C229" t="str">
            <v>numeric</v>
          </cell>
          <cell r="D229">
            <v>2</v>
          </cell>
        </row>
        <row r="230">
          <cell r="A230" t="str">
            <v>預り数量</v>
          </cell>
          <cell r="B230" t="str">
            <v>DEPOSIT_QUANTITY</v>
          </cell>
          <cell r="C230" t="str">
            <v>numeric</v>
          </cell>
          <cell r="D230">
            <v>16</v>
          </cell>
          <cell r="E230">
            <v>6</v>
          </cell>
        </row>
        <row r="231">
          <cell r="A231" t="str">
            <v>総投資額</v>
          </cell>
          <cell r="B231" t="str">
            <v>TOTAL_INVEST_AMOUNT</v>
          </cell>
          <cell r="C231" t="str">
            <v>numeric</v>
          </cell>
          <cell r="D231">
            <v>12</v>
          </cell>
        </row>
        <row r="232">
          <cell r="A232" t="str">
            <v>平均取得価額</v>
          </cell>
          <cell r="B232" t="str">
            <v>AVERAGE_PRICE</v>
          </cell>
          <cell r="C232" t="str">
            <v>numeric</v>
          </cell>
          <cell r="D232">
            <v>9</v>
          </cell>
          <cell r="E232">
            <v>4</v>
          </cell>
        </row>
        <row r="233">
          <cell r="A233" t="str">
            <v>基準日</v>
          </cell>
          <cell r="B233" t="str">
            <v>BASE_D</v>
          </cell>
          <cell r="C233" t="str">
            <v>datetime</v>
          </cell>
        </row>
        <row r="234">
          <cell r="A234" t="str">
            <v>ISO国コード</v>
          </cell>
          <cell r="B234" t="str">
            <v>COUNTRY_ISO_CD</v>
          </cell>
          <cell r="C234" t="str">
            <v>char</v>
          </cell>
          <cell r="D234">
            <v>2</v>
          </cell>
        </row>
        <row r="235">
          <cell r="A235" t="str">
            <v>休日フラグ</v>
          </cell>
          <cell r="B235" t="str">
            <v>HOLIDAY_FLG</v>
          </cell>
          <cell r="C235" t="str">
            <v>char</v>
          </cell>
          <cell r="D235">
            <v>1</v>
          </cell>
        </row>
        <row r="236">
          <cell r="A236" t="str">
            <v>商品名</v>
          </cell>
          <cell r="B236" t="str">
            <v>COMMODITY_NM</v>
          </cell>
          <cell r="C236" t="str">
            <v>nvarchar</v>
          </cell>
          <cell r="D236">
            <v>100</v>
          </cell>
        </row>
        <row r="237">
          <cell r="A237" t="str">
            <v>ソート順</v>
          </cell>
          <cell r="B237" t="str">
            <v>SORT_ORDER</v>
          </cell>
          <cell r="C237" t="str">
            <v>numeric</v>
          </cell>
          <cell r="D237">
            <v>3</v>
          </cell>
        </row>
        <row r="238">
          <cell r="A238" t="str">
            <v>有効フラグ</v>
          </cell>
          <cell r="B238" t="str">
            <v>ACTIVATE_FLG</v>
          </cell>
          <cell r="C238" t="str">
            <v>char</v>
          </cell>
          <cell r="D238">
            <v>1</v>
          </cell>
        </row>
        <row r="239">
          <cell r="A239" t="str">
            <v>保有数量</v>
          </cell>
          <cell r="B239" t="str">
            <v>HOLD_QUANTITY</v>
          </cell>
          <cell r="C239" t="str">
            <v>numeric</v>
          </cell>
          <cell r="D239">
            <v>16</v>
          </cell>
          <cell r="E239">
            <v>6</v>
          </cell>
        </row>
        <row r="240">
          <cell r="A240" t="str">
            <v>割当済数量</v>
          </cell>
          <cell r="B240" t="str">
            <v>ASSIGNED_QUANTITY</v>
          </cell>
          <cell r="C240" t="str">
            <v>numeric</v>
          </cell>
          <cell r="D240">
            <v>16</v>
          </cell>
          <cell r="E240">
            <v>6</v>
          </cell>
        </row>
        <row r="241">
          <cell r="A241" t="str">
            <v>取引番号</v>
          </cell>
          <cell r="B241" t="str">
            <v>TRADE_NO</v>
          </cell>
          <cell r="C241" t="str">
            <v>numeric</v>
          </cell>
          <cell r="D241">
            <v>18</v>
          </cell>
        </row>
        <row r="242">
          <cell r="A242" t="str">
            <v>取引数量</v>
          </cell>
          <cell r="B242" t="str">
            <v>TRADE_QUANTITY</v>
          </cell>
          <cell r="C242" t="str">
            <v>numeric</v>
          </cell>
          <cell r="D242">
            <v>16</v>
          </cell>
          <cell r="E242">
            <v>6</v>
          </cell>
        </row>
        <row r="243">
          <cell r="A243" t="str">
            <v>取引単価</v>
          </cell>
          <cell r="B243" t="str">
            <v>TRADE_PRICE</v>
          </cell>
          <cell r="C243" t="str">
            <v>numeric</v>
          </cell>
          <cell r="D243">
            <v>9</v>
          </cell>
          <cell r="E243">
            <v>2</v>
          </cell>
        </row>
        <row r="244">
          <cell r="A244" t="str">
            <v>売買代金</v>
          </cell>
          <cell r="B244" t="str">
            <v>TRADE_AMOUNT</v>
          </cell>
          <cell r="C244" t="str">
            <v>numeric</v>
          </cell>
          <cell r="D244">
            <v>16</v>
          </cell>
        </row>
        <row r="245">
          <cell r="A245" t="str">
            <v>手数料</v>
          </cell>
          <cell r="B245" t="str">
            <v>COMMISSION_VALUE</v>
          </cell>
          <cell r="C245" t="str">
            <v>numeric</v>
          </cell>
          <cell r="D245">
            <v>16</v>
          </cell>
        </row>
        <row r="246">
          <cell r="A246" t="str">
            <v>消費税</v>
          </cell>
          <cell r="B246" t="str">
            <v>CONSUMPTION_TAX</v>
          </cell>
          <cell r="C246" t="str">
            <v>numeric</v>
          </cell>
          <cell r="D246">
            <v>16</v>
          </cell>
        </row>
        <row r="247">
          <cell r="A247" t="str">
            <v>受渡代金</v>
          </cell>
          <cell r="B247" t="str">
            <v>NET_AMOUNT</v>
          </cell>
          <cell r="C247" t="str">
            <v>numeric</v>
          </cell>
          <cell r="D247">
            <v>16</v>
          </cell>
        </row>
        <row r="248">
          <cell r="A248" t="str">
            <v>取引日時</v>
          </cell>
          <cell r="B248" t="str">
            <v>TRADE_DT</v>
          </cell>
          <cell r="C248" t="str">
            <v>datetime</v>
          </cell>
        </row>
        <row r="249">
          <cell r="A249" t="str">
            <v>売買代金下限</v>
          </cell>
          <cell r="B249" t="str">
            <v>MIN_TRADE_AMOUNT</v>
          </cell>
          <cell r="C249" t="str">
            <v>numeric</v>
          </cell>
          <cell r="D249">
            <v>16</v>
          </cell>
        </row>
        <row r="250">
          <cell r="A250" t="str">
            <v>売買代金上限</v>
          </cell>
          <cell r="B250" t="str">
            <v>MAX_TRADE_AMOUNT</v>
          </cell>
          <cell r="C250" t="str">
            <v>numeric</v>
          </cell>
          <cell r="D250">
            <v>16</v>
          </cell>
        </row>
        <row r="251">
          <cell r="A251" t="str">
            <v>数量下限</v>
          </cell>
          <cell r="B251" t="str">
            <v>MIN_TRADE_QUANTITY</v>
          </cell>
          <cell r="C251" t="str">
            <v>numeric</v>
          </cell>
          <cell r="D251">
            <v>16</v>
          </cell>
          <cell r="E251">
            <v>6</v>
          </cell>
        </row>
        <row r="252">
          <cell r="A252" t="str">
            <v>数量上限</v>
          </cell>
          <cell r="B252" t="str">
            <v>MAX_TRADE_QUANTITY</v>
          </cell>
          <cell r="C252" t="str">
            <v>numeric</v>
          </cell>
          <cell r="D252">
            <v>16</v>
          </cell>
          <cell r="E252">
            <v>6</v>
          </cell>
        </row>
        <row r="253">
          <cell r="A253" t="str">
            <v>価格呼値</v>
          </cell>
          <cell r="B253" t="str">
            <v>UNIT_PRICE</v>
          </cell>
          <cell r="C253" t="str">
            <v>numeric</v>
          </cell>
          <cell r="D253">
            <v>9</v>
          </cell>
          <cell r="E253">
            <v>2</v>
          </cell>
        </row>
        <row r="254">
          <cell r="A254" t="str">
            <v>数量単位</v>
          </cell>
          <cell r="B254" t="str">
            <v>UNIT_QUANTITY</v>
          </cell>
          <cell r="C254" t="str">
            <v>numeric</v>
          </cell>
          <cell r="D254">
            <v>16</v>
          </cell>
          <cell r="E254">
            <v>6</v>
          </cell>
        </row>
        <row r="255">
          <cell r="A255" t="str">
            <v>金額下限</v>
          </cell>
          <cell r="B255" t="str">
            <v>MIN_AMOUNT</v>
          </cell>
          <cell r="C255" t="str">
            <v>numeric</v>
          </cell>
          <cell r="D255">
            <v>16</v>
          </cell>
        </row>
        <row r="256">
          <cell r="A256" t="str">
            <v>金額上限</v>
          </cell>
          <cell r="B256" t="str">
            <v>MAX_AMOUNT</v>
          </cell>
          <cell r="C256" t="str">
            <v>numeric</v>
          </cell>
          <cell r="D256">
            <v>16</v>
          </cell>
        </row>
        <row r="257">
          <cell r="A257" t="str">
            <v>セッション区分</v>
          </cell>
          <cell r="B257" t="str">
            <v>SESSION_CLS</v>
          </cell>
          <cell r="C257" t="str">
            <v>varchar</v>
          </cell>
          <cell r="D257">
            <v>2</v>
          </cell>
        </row>
        <row r="258">
          <cell r="A258" t="str">
            <v>連番</v>
          </cell>
          <cell r="B258" t="str">
            <v>SUB_NO</v>
          </cell>
          <cell r="C258" t="str">
            <v>numeric</v>
          </cell>
          <cell r="D258">
            <v>18</v>
          </cell>
        </row>
        <row r="259">
          <cell r="A259" t="str">
            <v>価格</v>
          </cell>
          <cell r="B259" t="str">
            <v>PRICE</v>
          </cell>
          <cell r="C259" t="str">
            <v>numeric</v>
          </cell>
          <cell r="D259">
            <v>9</v>
          </cell>
          <cell r="E259">
            <v>2</v>
          </cell>
        </row>
        <row r="260">
          <cell r="A260" t="str">
            <v>価格区分</v>
          </cell>
          <cell r="B260" t="str">
            <v>PRICE_CLS</v>
          </cell>
          <cell r="C260" t="str">
            <v>varchar</v>
          </cell>
          <cell r="D260">
            <v>2</v>
          </cell>
        </row>
        <row r="261">
          <cell r="A261" t="str">
            <v>積立注文番号</v>
          </cell>
          <cell r="B261" t="str">
            <v>ACU_ORDER_NO</v>
          </cell>
          <cell r="C261" t="str">
            <v>numeric</v>
          </cell>
          <cell r="D261">
            <v>18</v>
          </cell>
        </row>
        <row r="262">
          <cell r="A262" t="str">
            <v>積立開始日</v>
          </cell>
          <cell r="B262" t="str">
            <v>ACU_START_D</v>
          </cell>
          <cell r="C262" t="str">
            <v>datetime</v>
          </cell>
        </row>
        <row r="263">
          <cell r="A263" t="str">
            <v>取引方法区分</v>
          </cell>
          <cell r="B263" t="str">
            <v>TRADE_METHOD_CLS</v>
          </cell>
          <cell r="C263" t="str">
            <v>char</v>
          </cell>
          <cell r="D263">
            <v>1</v>
          </cell>
        </row>
        <row r="264">
          <cell r="A264" t="str">
            <v>取引指定区分</v>
          </cell>
          <cell r="B264" t="str">
            <v>TRADE_ASSIGN_CLS</v>
          </cell>
          <cell r="C264" t="str">
            <v>char</v>
          </cell>
          <cell r="D264">
            <v>1</v>
          </cell>
        </row>
        <row r="265">
          <cell r="A265" t="str">
            <v>積立金額</v>
          </cell>
          <cell r="B265" t="str">
            <v>ACC_AMOUNT</v>
          </cell>
          <cell r="C265" t="str">
            <v>numeric</v>
          </cell>
          <cell r="D265">
            <v>16</v>
          </cell>
        </row>
        <row r="266">
          <cell r="A266" t="str">
            <v>積立数量</v>
          </cell>
          <cell r="B266" t="str">
            <v>ACC_QUANTITY</v>
          </cell>
          <cell r="C266" t="str">
            <v>numeric</v>
          </cell>
          <cell r="D266">
            <v>16</v>
          </cell>
          <cell r="E266">
            <v>6</v>
          </cell>
        </row>
        <row r="267">
          <cell r="A267" t="str">
            <v>ボーナス増額区分</v>
          </cell>
          <cell r="B267" t="str">
            <v>BONUS_INCREASE_CLS</v>
          </cell>
          <cell r="C267" t="str">
            <v>char</v>
          </cell>
          <cell r="D267">
            <v>1</v>
          </cell>
        </row>
        <row r="268">
          <cell r="A268" t="str">
            <v>ボーナス取引指定区分</v>
          </cell>
          <cell r="B268" t="str">
            <v>BONUS_TRADE_ASSIGN_CLS</v>
          </cell>
          <cell r="C268" t="str">
            <v>char</v>
          </cell>
          <cell r="D268">
            <v>1</v>
          </cell>
        </row>
        <row r="269">
          <cell r="A269" t="str">
            <v>ボーナス月１</v>
          </cell>
          <cell r="B269" t="str">
            <v>BONUS_MONTH1</v>
          </cell>
          <cell r="C269" t="str">
            <v>numeric</v>
          </cell>
          <cell r="D269">
            <v>2</v>
          </cell>
        </row>
        <row r="270">
          <cell r="A270" t="str">
            <v>ボーナス月２</v>
          </cell>
          <cell r="B270" t="str">
            <v>BONUS_MONTH2</v>
          </cell>
          <cell r="C270" t="str">
            <v>numeric</v>
          </cell>
          <cell r="D270">
            <v>2</v>
          </cell>
        </row>
        <row r="271">
          <cell r="A271" t="str">
            <v>ボーナス増額金額１</v>
          </cell>
          <cell r="B271" t="str">
            <v>BONUS_INCREASE_AMOUNT1</v>
          </cell>
          <cell r="C271" t="str">
            <v>numeric</v>
          </cell>
          <cell r="D271">
            <v>16</v>
          </cell>
        </row>
        <row r="272">
          <cell r="A272" t="str">
            <v>ボーナス増額金額２</v>
          </cell>
          <cell r="B272" t="str">
            <v>BONUS_INCREASE_AMOUNT2</v>
          </cell>
          <cell r="C272" t="str">
            <v>numeric</v>
          </cell>
          <cell r="D272">
            <v>16</v>
          </cell>
        </row>
        <row r="273">
          <cell r="A273" t="str">
            <v>ボーナス増額数量１</v>
          </cell>
          <cell r="B273" t="str">
            <v>BONUS_INCREASE_QUANTITY1</v>
          </cell>
          <cell r="C273" t="str">
            <v>numeric</v>
          </cell>
          <cell r="D273">
            <v>16</v>
          </cell>
          <cell r="E273">
            <v>6</v>
          </cell>
        </row>
        <row r="274">
          <cell r="A274" t="str">
            <v>ボーナス増額数量２</v>
          </cell>
          <cell r="B274" t="str">
            <v>BONUS_INCREASE_QUANTITY2</v>
          </cell>
          <cell r="C274" t="str">
            <v>numeric</v>
          </cell>
          <cell r="D274">
            <v>16</v>
          </cell>
          <cell r="E274">
            <v>6</v>
          </cell>
        </row>
        <row r="275">
          <cell r="A275" t="str">
            <v>価格呼値(増額)</v>
          </cell>
          <cell r="B275" t="str">
            <v>UNIT_PRICE_ADD</v>
          </cell>
          <cell r="C275" t="str">
            <v>numeric</v>
          </cell>
          <cell r="D275">
            <v>9</v>
          </cell>
          <cell r="E275">
            <v>2</v>
          </cell>
        </row>
        <row r="276">
          <cell r="A276" t="str">
            <v>数量単位(増額)</v>
          </cell>
          <cell r="B276" t="str">
            <v>UNIT_QUANTITY_ADD</v>
          </cell>
          <cell r="C276" t="str">
            <v>numeric</v>
          </cell>
          <cell r="D276">
            <v>16</v>
          </cell>
          <cell r="E276">
            <v>6</v>
          </cell>
        </row>
        <row r="277">
          <cell r="A277" t="str">
            <v>金額下限(増額)</v>
          </cell>
          <cell r="B277" t="str">
            <v>MIN_AMOUNT_ADD</v>
          </cell>
          <cell r="C277" t="str">
            <v>numeric</v>
          </cell>
          <cell r="D277">
            <v>16</v>
          </cell>
        </row>
        <row r="278">
          <cell r="A278" t="str">
            <v>金額上限(増額)</v>
          </cell>
          <cell r="B278" t="str">
            <v>MAX_AMOUNT_ADD</v>
          </cell>
          <cell r="C278" t="str">
            <v>numeric</v>
          </cell>
          <cell r="D278">
            <v>16</v>
          </cell>
        </row>
        <row r="279">
          <cell r="A279" t="str">
            <v>数量下限(増額)</v>
          </cell>
          <cell r="B279" t="str">
            <v>MIN_TRADE_QUANTITY_ADD</v>
          </cell>
          <cell r="C279" t="str">
            <v>numeric</v>
          </cell>
          <cell r="D279">
            <v>16</v>
          </cell>
          <cell r="E279">
            <v>6</v>
          </cell>
        </row>
        <row r="280">
          <cell r="A280" t="str">
            <v>数量上限(増額)</v>
          </cell>
          <cell r="B280" t="str">
            <v>MAX_TRADE_QUANTITY_ADD</v>
          </cell>
          <cell r="C280" t="str">
            <v>numeric</v>
          </cell>
          <cell r="D280">
            <v>16</v>
          </cell>
          <cell r="E280">
            <v>6</v>
          </cell>
        </row>
        <row r="281">
          <cell r="A281" t="str">
            <v>取引日</v>
          </cell>
          <cell r="B281" t="str">
            <v>TRADE_D</v>
          </cell>
          <cell r="C281" t="str">
            <v>datetime</v>
          </cell>
        </row>
        <row r="282">
          <cell r="A282" t="str">
            <v>前取引日</v>
          </cell>
          <cell r="B282" t="str">
            <v>PREV_TRADE_D</v>
          </cell>
          <cell r="C282" t="str">
            <v>datetime</v>
          </cell>
        </row>
        <row r="283">
          <cell r="A283" t="str">
            <v>翌取引日</v>
          </cell>
          <cell r="B283" t="str">
            <v>NEXT_TRADE_D</v>
          </cell>
          <cell r="C283" t="str">
            <v>datetime</v>
          </cell>
        </row>
        <row r="284">
          <cell r="A284" t="str">
            <v>約定日</v>
          </cell>
          <cell r="B284" t="str">
            <v>EXECUTION_D</v>
          </cell>
          <cell r="C284" t="str">
            <v>datetime</v>
          </cell>
        </row>
        <row r="285">
          <cell r="A285" t="str">
            <v>バッチ処理基準日</v>
          </cell>
          <cell r="B285" t="str">
            <v>BT_BASE_D</v>
          </cell>
          <cell r="C285" t="str">
            <v>datetime</v>
          </cell>
        </row>
        <row r="286">
          <cell r="A286" t="str">
            <v>バッチ処理時刻</v>
          </cell>
          <cell r="B286" t="str">
            <v>BT_TIME</v>
          </cell>
          <cell r="C286" t="str">
            <v>char</v>
          </cell>
          <cell r="D286">
            <v>4</v>
          </cell>
        </row>
        <row r="287">
          <cell r="A287" t="str">
            <v>始値</v>
          </cell>
          <cell r="B287" t="str">
            <v>OPENING_PRICE</v>
          </cell>
          <cell r="C287" t="str">
            <v>numeric</v>
          </cell>
          <cell r="D287">
            <v>9</v>
          </cell>
          <cell r="E287">
            <v>2</v>
          </cell>
        </row>
        <row r="288">
          <cell r="A288" t="str">
            <v>最高値</v>
          </cell>
          <cell r="B288" t="str">
            <v>HIGH_PRICE</v>
          </cell>
          <cell r="C288" t="str">
            <v>numeric</v>
          </cell>
          <cell r="D288">
            <v>9</v>
          </cell>
          <cell r="E288">
            <v>2</v>
          </cell>
        </row>
        <row r="289">
          <cell r="A289" t="str">
            <v>最安値</v>
          </cell>
          <cell r="B289" t="str">
            <v>LOW_PRICE</v>
          </cell>
          <cell r="C289" t="str">
            <v>numeric</v>
          </cell>
          <cell r="D289">
            <v>9</v>
          </cell>
          <cell r="E289">
            <v>2</v>
          </cell>
        </row>
        <row r="290">
          <cell r="A290" t="str">
            <v>終値</v>
          </cell>
          <cell r="B290" t="str">
            <v>CLOSING_PRICE</v>
          </cell>
          <cell r="C290" t="str">
            <v>numeric</v>
          </cell>
          <cell r="D290">
            <v>9</v>
          </cell>
          <cell r="E290">
            <v>2</v>
          </cell>
        </row>
        <row r="291">
          <cell r="A291" t="str">
            <v>注文番号</v>
          </cell>
          <cell r="B291" t="str">
            <v>ORDER_NO</v>
          </cell>
          <cell r="C291" t="str">
            <v>numeric</v>
          </cell>
          <cell r="D291">
            <v>18</v>
          </cell>
        </row>
        <row r="292">
          <cell r="A292" t="str">
            <v>注文番号枝番</v>
          </cell>
          <cell r="B292" t="str">
            <v>ORDER_SUB_NO</v>
          </cell>
          <cell r="C292" t="str">
            <v>numeric</v>
          </cell>
          <cell r="D292">
            <v>18</v>
          </cell>
        </row>
        <row r="293">
          <cell r="A293" t="str">
            <v>約定日</v>
          </cell>
          <cell r="B293" t="str">
            <v>EXECUTION_D</v>
          </cell>
          <cell r="C293" t="str">
            <v>datetime</v>
          </cell>
        </row>
        <row r="294">
          <cell r="A294" t="str">
            <v>約定日時</v>
          </cell>
          <cell r="B294" t="str">
            <v>EXECUTION_DT</v>
          </cell>
          <cell r="C294" t="str">
            <v>datetime</v>
          </cell>
        </row>
        <row r="295">
          <cell r="A295" t="str">
            <v>受付営業日</v>
          </cell>
          <cell r="B295" t="str">
            <v>RECEPT_BUSINESS_D</v>
          </cell>
          <cell r="C295" t="str">
            <v>datetime</v>
          </cell>
        </row>
        <row r="296">
          <cell r="A296" t="str">
            <v>受付日時</v>
          </cell>
          <cell r="B296" t="str">
            <v>RECEPT_DT</v>
          </cell>
          <cell r="C296" t="str">
            <v>datetime</v>
          </cell>
        </row>
        <row r="297">
          <cell r="A297" t="str">
            <v>取引所コード</v>
          </cell>
          <cell r="B297" t="str">
            <v>EXCHANGE_CD</v>
          </cell>
          <cell r="C297" t="str">
            <v>char</v>
          </cell>
          <cell r="D297">
            <v>1</v>
          </cell>
        </row>
        <row r="298">
          <cell r="A298" t="str">
            <v>売買区分</v>
          </cell>
          <cell r="B298" t="str">
            <v>BUY_SELL_CLS</v>
          </cell>
          <cell r="C298" t="str">
            <v>char</v>
          </cell>
          <cell r="D298">
            <v>1</v>
          </cell>
        </row>
        <row r="299">
          <cell r="A299" t="str">
            <v>指定金額（通常分）</v>
          </cell>
          <cell r="B299" t="str">
            <v>SPECIFY_AMOUNT_NOMAL</v>
          </cell>
          <cell r="C299" t="str">
            <v>numeric</v>
          </cell>
          <cell r="D299">
            <v>16</v>
          </cell>
        </row>
        <row r="300">
          <cell r="A300" t="str">
            <v>指定金額（ボーナス増額分）</v>
          </cell>
          <cell r="B300" t="str">
            <v>SPECIFY_AMOUNT_BONUS</v>
          </cell>
          <cell r="C300" t="str">
            <v>numeric</v>
          </cell>
          <cell r="D300">
            <v>16</v>
          </cell>
        </row>
        <row r="301">
          <cell r="A301" t="str">
            <v>指定金額（合計）</v>
          </cell>
          <cell r="B301" t="str">
            <v>SPECIFY_AMOUNT_TOTAL</v>
          </cell>
          <cell r="C301" t="str">
            <v>numeric</v>
          </cell>
          <cell r="D301">
            <v>16</v>
          </cell>
        </row>
        <row r="302">
          <cell r="A302" t="str">
            <v>指定数量（通常分）</v>
          </cell>
          <cell r="B302" t="str">
            <v>SPECIFY_QUANTITY_NOMAL</v>
          </cell>
          <cell r="C302" t="str">
            <v>numeric</v>
          </cell>
          <cell r="D302">
            <v>16</v>
          </cell>
          <cell r="E302">
            <v>6</v>
          </cell>
        </row>
        <row r="303">
          <cell r="A303" t="str">
            <v>指定数量（ボーナス増額分）</v>
          </cell>
          <cell r="B303" t="str">
            <v>SPECIFY_QUANTITY_BONUS</v>
          </cell>
          <cell r="C303" t="str">
            <v>numeric</v>
          </cell>
          <cell r="D303">
            <v>16</v>
          </cell>
          <cell r="E303">
            <v>6</v>
          </cell>
        </row>
        <row r="304">
          <cell r="A304" t="str">
            <v>指定数量（合計）</v>
          </cell>
          <cell r="B304" t="str">
            <v>SPECIFY_QUANTITY_TOTAL</v>
          </cell>
          <cell r="C304" t="str">
            <v>numeric</v>
          </cell>
          <cell r="D304">
            <v>16</v>
          </cell>
          <cell r="E304">
            <v>6</v>
          </cell>
        </row>
        <row r="305">
          <cell r="A305" t="str">
            <v>注文ステータス</v>
          </cell>
          <cell r="B305" t="str">
            <v>ORDER_STATUS_CLS</v>
          </cell>
          <cell r="C305" t="str">
            <v>numeric</v>
          </cell>
          <cell r="D305">
            <v>2</v>
          </cell>
        </row>
        <row r="306">
          <cell r="A306" t="str">
            <v>全数量指定区分</v>
          </cell>
          <cell r="B306" t="str">
            <v>TOTAL_QRY_SPECIFY_CLS</v>
          </cell>
          <cell r="C306" t="str">
            <v>char</v>
          </cell>
          <cell r="D306">
            <v>1</v>
          </cell>
        </row>
        <row r="307">
          <cell r="A307" t="str">
            <v>地金数量</v>
          </cell>
          <cell r="B307" t="str">
            <v>BULLION_QUANTITY</v>
          </cell>
          <cell r="C307" t="str">
            <v>numeric</v>
          </cell>
          <cell r="D307">
            <v>16</v>
          </cell>
          <cell r="E307">
            <v>6</v>
          </cell>
        </row>
        <row r="308">
          <cell r="A308" t="str">
            <v>地金代金</v>
          </cell>
          <cell r="B308" t="str">
            <v>BULLION_AMOUNT</v>
          </cell>
          <cell r="C308" t="str">
            <v>numeric</v>
          </cell>
          <cell r="D308">
            <v>16</v>
          </cell>
        </row>
        <row r="309">
          <cell r="A309" t="str">
            <v>手数料消費税</v>
          </cell>
          <cell r="B309" t="str">
            <v>COMMISSION_TAX</v>
          </cell>
          <cell r="C309" t="str">
            <v>numeric</v>
          </cell>
          <cell r="D309">
            <v>16</v>
          </cell>
        </row>
        <row r="310">
          <cell r="A310" t="str">
            <v>受渡金額</v>
          </cell>
          <cell r="B310" t="str">
            <v>TRANSFER_AMOUNT</v>
          </cell>
          <cell r="C310" t="str">
            <v>numeric</v>
          </cell>
          <cell r="D310">
            <v>16</v>
          </cell>
        </row>
        <row r="311">
          <cell r="A311" t="str">
            <v>手数料（税込）</v>
          </cell>
          <cell r="B311" t="str">
            <v>COMMISSION_TAX_INCLUDED</v>
          </cell>
          <cell r="C311" t="str">
            <v>numeric</v>
          </cell>
          <cell r="D311">
            <v>16</v>
          </cell>
        </row>
        <row r="312">
          <cell r="A312" t="str">
            <v>注文代行フラグ</v>
          </cell>
          <cell r="B312" t="str">
            <v>ORDER_PROXY_FLAG</v>
          </cell>
          <cell r="C312" t="str">
            <v>char</v>
          </cell>
          <cell r="D312">
            <v>1</v>
          </cell>
        </row>
        <row r="313">
          <cell r="A313" t="str">
            <v>取消代行フラグ</v>
          </cell>
          <cell r="B313" t="str">
            <v>CANCEL_PROXY_FLAG</v>
          </cell>
          <cell r="C313" t="str">
            <v>char</v>
          </cell>
          <cell r="D313">
            <v>1</v>
          </cell>
        </row>
        <row r="314">
          <cell r="A314" t="str">
            <v>注文デバイス種別</v>
          </cell>
          <cell r="B314" t="str">
            <v>ORDER_DEVICE_KIND</v>
          </cell>
          <cell r="C314" t="str">
            <v>char</v>
          </cell>
          <cell r="D314">
            <v>1</v>
          </cell>
        </row>
        <row r="315">
          <cell r="A315" t="str">
            <v>取消デバイス種別</v>
          </cell>
          <cell r="B315" t="str">
            <v>CANCEL_DEVICE_KIND</v>
          </cell>
          <cell r="C315" t="str">
            <v>char</v>
          </cell>
          <cell r="D315">
            <v>1</v>
          </cell>
        </row>
        <row r="316">
          <cell r="A316" t="str">
            <v>訂正前指定金額（通常分）</v>
          </cell>
          <cell r="B316" t="str">
            <v>BEFORE_SPECIFY_AMOUNT_NOMAL</v>
          </cell>
          <cell r="C316" t="str">
            <v>numeric</v>
          </cell>
          <cell r="D316">
            <v>16</v>
          </cell>
        </row>
        <row r="317">
          <cell r="A317" t="str">
            <v>訂正前指定金額（ボーナス増額分）</v>
          </cell>
          <cell r="B317" t="str">
            <v>BEFORE_SPECIFY_AMOUNT_BONUS</v>
          </cell>
          <cell r="C317" t="str">
            <v>numeric</v>
          </cell>
          <cell r="D317">
            <v>16</v>
          </cell>
        </row>
        <row r="318">
          <cell r="A318" t="str">
            <v>訂正前指定金額（合計）</v>
          </cell>
          <cell r="B318" t="str">
            <v>BEFORE_SPECIFY_AMOUNT_TOTAL</v>
          </cell>
          <cell r="C318" t="str">
            <v>numeric</v>
          </cell>
          <cell r="D318">
            <v>16</v>
          </cell>
        </row>
        <row r="319">
          <cell r="A319" t="str">
            <v>訂正前指定数量（通常分）</v>
          </cell>
          <cell r="B319" t="str">
            <v>BEFORE_SPECIFY_QUANTITY_NOMAL</v>
          </cell>
          <cell r="C319" t="str">
            <v>numeric</v>
          </cell>
          <cell r="D319">
            <v>16</v>
          </cell>
          <cell r="E319">
            <v>6</v>
          </cell>
        </row>
        <row r="320">
          <cell r="A320" t="str">
            <v>訂正前指定数量（ボーナス増額分）</v>
          </cell>
          <cell r="B320" t="str">
            <v>BEFORE_SPECIFY_QUANTITY_BONUS</v>
          </cell>
          <cell r="C320" t="str">
            <v>numeric</v>
          </cell>
          <cell r="D320">
            <v>16</v>
          </cell>
          <cell r="E320">
            <v>6</v>
          </cell>
        </row>
        <row r="321">
          <cell r="A321" t="str">
            <v>訂正前指定数量（合計）</v>
          </cell>
          <cell r="B321" t="str">
            <v>BEFORE_SPECIFY_QUANTITY_TOTAL</v>
          </cell>
          <cell r="C321" t="str">
            <v>numeric</v>
          </cell>
          <cell r="D321">
            <v>16</v>
          </cell>
          <cell r="E321">
            <v>6</v>
          </cell>
        </row>
        <row r="322">
          <cell r="A322" t="str">
            <v>訂正前全数量指定区分</v>
          </cell>
          <cell r="B322" t="str">
            <v>BEFORE_TOTAL_QRY_SPECIFY_CLS</v>
          </cell>
          <cell r="C322" t="str">
            <v>char</v>
          </cell>
          <cell r="D322">
            <v>1</v>
          </cell>
        </row>
        <row r="323">
          <cell r="A323" t="str">
            <v>訂正前価格区分</v>
          </cell>
          <cell r="B323" t="str">
            <v>BEFORE_PRICE_CLS</v>
          </cell>
          <cell r="C323" t="str">
            <v>varchar</v>
          </cell>
          <cell r="D323">
            <v>2</v>
          </cell>
        </row>
        <row r="324">
          <cell r="A324" t="str">
            <v>訂正前価格</v>
          </cell>
          <cell r="B324" t="str">
            <v>BEFORE_PRICE</v>
          </cell>
          <cell r="C324" t="str">
            <v>numeric</v>
          </cell>
          <cell r="D324">
            <v>9</v>
          </cell>
          <cell r="E324">
            <v>2</v>
          </cell>
        </row>
        <row r="325">
          <cell r="A325" t="str">
            <v>データ区分</v>
          </cell>
          <cell r="B325" t="str">
            <v>DATA_CLS</v>
          </cell>
          <cell r="C325" t="str">
            <v>char</v>
          </cell>
          <cell r="D325">
            <v>1</v>
          </cell>
        </row>
        <row r="326">
          <cell r="A326" t="str">
            <v>通貨コード</v>
          </cell>
          <cell r="B326" t="str">
            <v>CURRENCY_CD</v>
          </cell>
          <cell r="C326" t="str">
            <v>char</v>
          </cell>
          <cell r="D326">
            <v>3</v>
          </cell>
        </row>
        <row r="327">
          <cell r="A327" t="str">
            <v>現金預り金</v>
          </cell>
          <cell r="B327" t="str">
            <v>CASH_BALANCE</v>
          </cell>
          <cell r="C327" t="str">
            <v>numeric</v>
          </cell>
          <cell r="D327">
            <v>22</v>
          </cell>
          <cell r="E327">
            <v>10</v>
          </cell>
        </row>
        <row r="328">
          <cell r="A328" t="str">
            <v>価格通知区分</v>
          </cell>
          <cell r="B328" t="str">
            <v>PRICE_NOTICE_CLS</v>
          </cell>
          <cell r="C328" t="str">
            <v>char</v>
          </cell>
          <cell r="D328">
            <v>1</v>
          </cell>
        </row>
        <row r="329">
          <cell r="A329" t="str">
            <v>設定日時</v>
          </cell>
          <cell r="B329" t="str">
            <v>SET_DT</v>
          </cell>
          <cell r="C329" t="str">
            <v>datetime</v>
          </cell>
        </row>
        <row r="330">
          <cell r="A330" t="str">
            <v>設定価格</v>
          </cell>
          <cell r="B330" t="str">
            <v>SET_PRICE</v>
          </cell>
          <cell r="C330" t="str">
            <v>numeric</v>
          </cell>
          <cell r="D330">
            <v>9</v>
          </cell>
          <cell r="E330">
            <v>2</v>
          </cell>
        </row>
        <row r="331">
          <cell r="A331" t="str">
            <v>受信メールアドレス</v>
          </cell>
          <cell r="B331" t="str">
            <v>RECEIVE_MAIL_ADDR</v>
          </cell>
          <cell r="C331" t="str">
            <v>varchar</v>
          </cell>
          <cell r="D331">
            <v>256</v>
          </cell>
        </row>
        <row r="332">
          <cell r="A332" t="str">
            <v>約定番号</v>
          </cell>
          <cell r="B332" t="str">
            <v>EXECUTION_NO</v>
          </cell>
          <cell r="C332" t="str">
            <v>numeric</v>
          </cell>
          <cell r="D332">
            <v>18</v>
          </cell>
        </row>
        <row r="333">
          <cell r="A333" t="str">
            <v>約定単価</v>
          </cell>
          <cell r="B333" t="str">
            <v>EXEC_PRICE</v>
          </cell>
          <cell r="C333" t="str">
            <v>numeric</v>
          </cell>
          <cell r="D333">
            <v>9</v>
          </cell>
          <cell r="E333">
            <v>2</v>
          </cell>
        </row>
        <row r="334">
          <cell r="A334" t="str">
            <v>地金代金（計算結果）</v>
          </cell>
          <cell r="B334" t="str">
            <v>CALC_RSLT_BULLION_AMOUNT</v>
          </cell>
          <cell r="C334" t="str">
            <v>numeric</v>
          </cell>
          <cell r="D334">
            <v>16</v>
          </cell>
        </row>
        <row r="335">
          <cell r="A335" t="str">
            <v>売却価額</v>
          </cell>
          <cell r="B335" t="str">
            <v>SELLING_PRICE</v>
          </cell>
          <cell r="C335" t="str">
            <v>numeric</v>
          </cell>
          <cell r="D335">
            <v>16</v>
          </cell>
        </row>
        <row r="336">
          <cell r="A336" t="str">
            <v>損益金額</v>
          </cell>
          <cell r="B336" t="str">
            <v>SETTLEMENT_AMOUNT</v>
          </cell>
          <cell r="C336" t="str">
            <v>numeric</v>
          </cell>
          <cell r="D336">
            <v>16</v>
          </cell>
        </row>
        <row r="337">
          <cell r="A337" t="str">
            <v>送信フラグ</v>
          </cell>
          <cell r="B337" t="str">
            <v>SEND_FLG</v>
          </cell>
          <cell r="C337" t="str">
            <v>char</v>
          </cell>
          <cell r="D337">
            <v>1</v>
          </cell>
        </row>
        <row r="338">
          <cell r="A338" t="str">
            <v>レート</v>
          </cell>
          <cell r="B338" t="str">
            <v>RATE</v>
          </cell>
          <cell r="C338" t="str">
            <v>numeric</v>
          </cell>
          <cell r="D338">
            <v>5</v>
          </cell>
          <cell r="E338">
            <v>4</v>
          </cell>
        </row>
        <row r="339">
          <cell r="A339" t="str">
            <v>価格使用フラグ</v>
          </cell>
          <cell r="B339" t="str">
            <v>PRICE_USED_FLG</v>
          </cell>
          <cell r="C339" t="str">
            <v>char</v>
          </cell>
          <cell r="D339">
            <v>1</v>
          </cell>
        </row>
        <row r="340">
          <cell r="A340" t="str">
            <v>レート使用フラグ</v>
          </cell>
          <cell r="B340" t="str">
            <v>RATE_USED_FLG</v>
          </cell>
          <cell r="C340" t="str">
            <v>char</v>
          </cell>
          <cell r="D340">
            <v>1</v>
          </cell>
        </row>
        <row r="341">
          <cell r="A341" t="str">
            <v>地金商品コード</v>
          </cell>
          <cell r="B341" t="str">
            <v>BULLION_COMMODITY_CD</v>
          </cell>
          <cell r="C341" t="str">
            <v>char</v>
          </cell>
          <cell r="D341">
            <v>3</v>
          </cell>
        </row>
        <row r="342">
          <cell r="A342" t="str">
            <v>重量</v>
          </cell>
          <cell r="B342" t="str">
            <v>WEIGHT</v>
          </cell>
          <cell r="C342" t="str">
            <v>numeric</v>
          </cell>
          <cell r="D342">
            <v>8</v>
          </cell>
        </row>
        <row r="343">
          <cell r="A343" t="str">
            <v>バーチャージ</v>
          </cell>
          <cell r="B343" t="str">
            <v>BURR_CHARGE</v>
          </cell>
          <cell r="C343" t="str">
            <v>numeric</v>
          </cell>
          <cell r="D343">
            <v>8</v>
          </cell>
        </row>
        <row r="344">
          <cell r="A344" t="str">
            <v>確定積立設定番号</v>
          </cell>
          <cell r="B344" t="str">
            <v>FIXED_ACU_CONFIG_NO</v>
          </cell>
          <cell r="C344" t="str">
            <v>numeric</v>
          </cell>
          <cell r="D344">
            <v>18</v>
          </cell>
        </row>
        <row r="345">
          <cell r="A345" t="str">
            <v>有効年月</v>
          </cell>
          <cell r="B345" t="str">
            <v>EFFECTIVE_MONTH</v>
          </cell>
          <cell r="C345" t="str">
            <v>datetime</v>
          </cell>
        </row>
        <row r="346">
          <cell r="A346" t="str">
            <v>消費税率</v>
          </cell>
          <cell r="B346" t="str">
            <v>CONSUMPTION_TAX_RATE</v>
          </cell>
          <cell r="C346" t="str">
            <v>numeric</v>
          </cell>
          <cell r="D346">
            <v>5</v>
          </cell>
          <cell r="E346">
            <v>4</v>
          </cell>
        </row>
        <row r="347">
          <cell r="A347" t="str">
            <v>手数料徴収フラグ</v>
          </cell>
          <cell r="B347" t="str">
            <v>SETTLED_COMMISSION_FLAG</v>
          </cell>
          <cell r="C347" t="str">
            <v>char</v>
          </cell>
          <cell r="D347">
            <v>1</v>
          </cell>
        </row>
        <row r="348">
          <cell r="A348" t="str">
            <v>当月購入済地金代金合計</v>
          </cell>
          <cell r="B348" t="str">
            <v>SETTLED_BULLION_AMOUNT_TOTAL</v>
          </cell>
          <cell r="C348" t="str">
            <v>numeric</v>
          </cell>
          <cell r="D348">
            <v>18</v>
          </cell>
        </row>
        <row r="349">
          <cell r="A349" t="str">
            <v>当月購入済地金数量合計</v>
          </cell>
          <cell r="B349" t="str">
            <v>SETTLED_BULLION_QTY_TOTAL</v>
          </cell>
          <cell r="C349" t="str">
            <v>numeric</v>
          </cell>
          <cell r="D349">
            <v>16</v>
          </cell>
          <cell r="E349">
            <v>6</v>
          </cell>
        </row>
        <row r="350">
          <cell r="A350" t="str">
            <v>余力拘束連続失敗回数（定量）</v>
          </cell>
          <cell r="B350" t="str">
            <v>RESTRICTED_ASSETS_ERROR_CNT</v>
          </cell>
          <cell r="C350" t="str">
            <v>numeric</v>
          </cell>
          <cell r="D350">
            <v>2</v>
          </cell>
        </row>
        <row r="351">
          <cell r="A351" t="str">
            <v>確定積立設定番号枝番</v>
          </cell>
          <cell r="B351" t="str">
            <v>FIXED_ACU_CONFIG_SUB_NO</v>
          </cell>
          <cell r="C351" t="str">
            <v>numeric</v>
          </cell>
          <cell r="D351">
            <v>18</v>
          </cell>
        </row>
        <row r="352">
          <cell r="A352" t="str">
            <v>処理日時</v>
          </cell>
          <cell r="B352" t="str">
            <v>PROC_DT</v>
          </cell>
          <cell r="C352" t="str">
            <v>datetime</v>
          </cell>
        </row>
        <row r="353">
          <cell r="A353" t="str">
            <v>管理者ID</v>
          </cell>
          <cell r="B353" t="str">
            <v>ADMIN_ID</v>
          </cell>
          <cell r="C353" t="str">
            <v>char</v>
          </cell>
          <cell r="D353">
            <v>4</v>
          </cell>
        </row>
        <row r="354">
          <cell r="A354" t="str">
            <v>管理者氏名</v>
          </cell>
          <cell r="B354" t="str">
            <v>ADMIN_NAME</v>
          </cell>
          <cell r="C354" t="str">
            <v>nvarchar</v>
          </cell>
          <cell r="D354">
            <v>40</v>
          </cell>
        </row>
        <row r="355">
          <cell r="A355" t="str">
            <v>ログイン情報SEQ</v>
          </cell>
          <cell r="B355" t="str">
            <v>LOGIN_INFO_SEQ</v>
          </cell>
          <cell r="C355" t="str">
            <v>numeric</v>
          </cell>
          <cell r="D355">
            <v>18</v>
          </cell>
        </row>
        <row r="356">
          <cell r="A356" t="str">
            <v>処理ステータス</v>
          </cell>
          <cell r="B356" t="str">
            <v>PROCES_STATUS</v>
          </cell>
          <cell r="C356" t="str">
            <v>char</v>
          </cell>
          <cell r="D356">
            <v>1</v>
          </cell>
        </row>
        <row r="357">
          <cell r="A357" t="str">
            <v>備考</v>
          </cell>
          <cell r="B357" t="str">
            <v>NOTES</v>
          </cell>
          <cell r="C357" t="str">
            <v>nvarchar</v>
          </cell>
          <cell r="D357">
            <v>512</v>
          </cell>
        </row>
        <row r="358">
          <cell r="A358" t="str">
            <v>転送フラグ</v>
          </cell>
          <cell r="B358" t="str">
            <v>TRANSFER_FLAG</v>
          </cell>
          <cell r="C358" t="str">
            <v>char</v>
          </cell>
          <cell r="D358">
            <v>1</v>
          </cell>
        </row>
        <row r="359">
          <cell r="A359" t="str">
            <v>確定日</v>
          </cell>
          <cell r="B359" t="str">
            <v>COMMIT_D</v>
          </cell>
          <cell r="C359" t="str">
            <v>datetime</v>
          </cell>
        </row>
        <row r="360">
          <cell r="A360" t="str">
            <v>手数料（消費税）</v>
          </cell>
          <cell r="B360" t="str">
            <v>FEE_TAX</v>
          </cell>
          <cell r="C360" t="str">
            <v>numeric</v>
          </cell>
          <cell r="D360">
            <v>16</v>
          </cell>
        </row>
        <row r="361">
          <cell r="A361" t="str">
            <v>送料</v>
          </cell>
          <cell r="B361" t="str">
            <v>MAILING_COST</v>
          </cell>
          <cell r="C361" t="str">
            <v>numeric</v>
          </cell>
          <cell r="D361">
            <v>16</v>
          </cell>
        </row>
        <row r="362">
          <cell r="A362" t="str">
            <v>送料（消費税）</v>
          </cell>
          <cell r="B362" t="str">
            <v>MAILING_COST_TAX</v>
          </cell>
          <cell r="C362" t="str">
            <v>numeric</v>
          </cell>
          <cell r="D362">
            <v>16</v>
          </cell>
        </row>
        <row r="363">
          <cell r="A363" t="str">
            <v>バーチャージ（消費税）</v>
          </cell>
          <cell r="B363" t="str">
            <v>BURR_CHARGE_TAX</v>
          </cell>
          <cell r="C363" t="str">
            <v>numeric</v>
          </cell>
          <cell r="D363">
            <v>16</v>
          </cell>
        </row>
        <row r="364">
          <cell r="A364" t="str">
            <v>入出庫費用合計</v>
          </cell>
          <cell r="B364" t="str">
            <v xml:space="preserve">DELIVERY_COST_TOTAL </v>
          </cell>
          <cell r="C364" t="str">
            <v>numeric</v>
          </cell>
          <cell r="D364">
            <v>16</v>
          </cell>
        </row>
        <row r="365">
          <cell r="A365" t="str">
            <v>シリアル番号</v>
          </cell>
          <cell r="B365" t="str">
            <v>SERIAL_NO</v>
          </cell>
          <cell r="C365" t="str">
            <v>numeric</v>
          </cell>
          <cell r="D365">
            <v>16</v>
          </cell>
        </row>
        <row r="366">
          <cell r="A366" t="str">
            <v>積立注文番号枝番</v>
          </cell>
          <cell r="B366" t="str">
            <v>ACU_ORDER_SUB_NO</v>
          </cell>
          <cell r="C366" t="str">
            <v>numeric</v>
          </cell>
          <cell r="D366">
            <v>18</v>
          </cell>
        </row>
        <row r="367">
          <cell r="A367" t="str">
            <v>余力拘束連続失敗回数（定額）</v>
          </cell>
          <cell r="B367" t="str">
            <v>RESTRICTED_ASSETS_ERR_CNT_AMT</v>
          </cell>
          <cell r="C367" t="str">
            <v>numeric</v>
          </cell>
          <cell r="D367">
            <v>2</v>
          </cell>
        </row>
        <row r="368">
          <cell r="A368" t="str">
            <v>訂正前ボーナス増額区分</v>
          </cell>
          <cell r="B368" t="str">
            <v>BEFORE_BONUS_INCREASE_CLS</v>
          </cell>
          <cell r="C368" t="str">
            <v>char</v>
          </cell>
          <cell r="D368">
            <v>1</v>
          </cell>
        </row>
        <row r="369">
          <cell r="A369" t="str">
            <v>訂正前ボーナス取引指定区分</v>
          </cell>
          <cell r="B369" t="str">
            <v>BEFORE_BONUS_TRADE_ASSIGN_CLS</v>
          </cell>
          <cell r="C369" t="str">
            <v>char</v>
          </cell>
          <cell r="D369">
            <v>1</v>
          </cell>
        </row>
        <row r="370">
          <cell r="A370" t="str">
            <v>訂正前ボーナス月１</v>
          </cell>
          <cell r="B370" t="str">
            <v>BEFORE_BONUS_MONTH1</v>
          </cell>
          <cell r="C370" t="str">
            <v>numeric</v>
          </cell>
          <cell r="D370">
            <v>2</v>
          </cell>
        </row>
        <row r="371">
          <cell r="A371" t="str">
            <v>訂正前ボーナス月２</v>
          </cell>
          <cell r="B371" t="str">
            <v>BEFORE_BONUS_MONTH2</v>
          </cell>
          <cell r="C371" t="str">
            <v>numeric</v>
          </cell>
          <cell r="D371">
            <v>2</v>
          </cell>
        </row>
        <row r="372">
          <cell r="A372" t="str">
            <v>訂正前ボーナス増額金額１</v>
          </cell>
          <cell r="B372" t="str">
            <v>BEFORE_BONUS_INCREASE_AMOUNT1</v>
          </cell>
          <cell r="C372" t="str">
            <v>numeric</v>
          </cell>
          <cell r="D372">
            <v>16</v>
          </cell>
        </row>
        <row r="373">
          <cell r="A373" t="str">
            <v>訂正前ボーナス増額金額２</v>
          </cell>
          <cell r="B373" t="str">
            <v>BEFORE_BONUS_INCREASE_AMOUNT2</v>
          </cell>
          <cell r="C373" t="str">
            <v>numeric</v>
          </cell>
          <cell r="D373">
            <v>16</v>
          </cell>
        </row>
        <row r="374">
          <cell r="A374" t="str">
            <v>訂正前ボーナス増額数量１</v>
          </cell>
          <cell r="B374" t="str">
            <v>BEFORE_BONUS_INCREASE_QUANTITY1</v>
          </cell>
          <cell r="C374" t="str">
            <v>numeric</v>
          </cell>
          <cell r="D374">
            <v>16</v>
          </cell>
          <cell r="E374">
            <v>6</v>
          </cell>
        </row>
        <row r="375">
          <cell r="A375" t="str">
            <v>訂正前ボーナス増額数量２</v>
          </cell>
          <cell r="B375" t="str">
            <v>BEFORE_BONUS_INCREASE_QUANTITY2</v>
          </cell>
          <cell r="C375" t="str">
            <v>numeric</v>
          </cell>
          <cell r="D375">
            <v>16</v>
          </cell>
          <cell r="E375">
            <v>6</v>
          </cell>
        </row>
        <row r="376">
          <cell r="A376" t="str">
            <v>積立解約理由区分</v>
          </cell>
          <cell r="B376" t="str">
            <v>ACC_CANCEL_REASON_CLS</v>
          </cell>
          <cell r="C376" t="str">
            <v>varchar</v>
          </cell>
          <cell r="D376">
            <v>2</v>
          </cell>
        </row>
        <row r="377">
          <cell r="A377" t="str">
            <v>積立解約日</v>
          </cell>
          <cell r="B377" t="str">
            <v>ACC_CANCEL_D</v>
          </cell>
          <cell r="C377" t="str">
            <v>datetime</v>
          </cell>
        </row>
        <row r="378">
          <cell r="A378" t="str">
            <v>最終変更積立開始日</v>
          </cell>
          <cell r="B378" t="str">
            <v>LAST_CHANGE_ACU_START_D</v>
          </cell>
          <cell r="C378" t="str">
            <v>datetime</v>
          </cell>
        </row>
        <row r="379">
          <cell r="A379" t="str">
            <v>訂正前最終変更積立開始日</v>
          </cell>
          <cell r="B379" t="str">
            <v>BEFORE_LAST_CHANGE_ACU_START_D</v>
          </cell>
          <cell r="C379" t="str">
            <v>datetime</v>
          </cell>
        </row>
        <row r="380">
          <cell r="A380" t="str">
            <v>積立確定営業日</v>
          </cell>
          <cell r="B380" t="str">
            <v>ACC_FIXED_BUSINESS_D</v>
          </cell>
          <cell r="C380" t="str">
            <v>datetime</v>
          </cell>
        </row>
        <row r="381">
          <cell r="A381" t="str">
            <v>積立確定日時</v>
          </cell>
          <cell r="B381" t="str">
            <v>ACC_FIXED_DT</v>
          </cell>
          <cell r="C381" t="str">
            <v>datetime</v>
          </cell>
        </row>
        <row r="382">
          <cell r="A382" t="str">
            <v>処理日</v>
          </cell>
          <cell r="B382" t="str">
            <v>PROC_D</v>
          </cell>
          <cell r="C382" t="str">
            <v>datetime</v>
          </cell>
        </row>
        <row r="383">
          <cell r="A383" t="str">
            <v>注文数量</v>
          </cell>
          <cell r="B383" t="str">
            <v>ORDER_QUANTITY</v>
          </cell>
          <cell r="C383" t="str">
            <v>numeric</v>
          </cell>
          <cell r="D383">
            <v>16</v>
          </cell>
          <cell r="E383">
            <v>6</v>
          </cell>
        </row>
        <row r="384">
          <cell r="A384" t="str">
            <v>訂正前注文数量</v>
          </cell>
          <cell r="B384" t="str">
            <v>BEFORE_ORDER_QUANTITY</v>
          </cell>
          <cell r="C384" t="str">
            <v>numeric</v>
          </cell>
          <cell r="D384">
            <v>16</v>
          </cell>
          <cell r="E384">
            <v>6</v>
          </cell>
        </row>
        <row r="385">
          <cell r="A385" t="str">
            <v>注文金額</v>
          </cell>
          <cell r="B385" t="str">
            <v>ORDER_AMOUNT</v>
          </cell>
          <cell r="C385" t="str">
            <v>numeric</v>
          </cell>
          <cell r="D385">
            <v>16</v>
          </cell>
        </row>
        <row r="386">
          <cell r="A386" t="str">
            <v>訂正前注文金額</v>
          </cell>
          <cell r="B386" t="str">
            <v>BEFORE_ORDER_AMOUNT</v>
          </cell>
          <cell r="C386" t="str">
            <v>numeric</v>
          </cell>
          <cell r="D386">
            <v>16</v>
          </cell>
        </row>
        <row r="387">
          <cell r="A387" t="str">
            <v>取引先コード</v>
          </cell>
          <cell r="B387" t="str">
            <v>TRADE_CLIENT_CD</v>
          </cell>
          <cell r="C387" t="str">
            <v>char</v>
          </cell>
          <cell r="D387">
            <v>3</v>
          </cell>
        </row>
        <row r="388">
          <cell r="A388" t="str">
            <v>貴金属オンラインステータス</v>
          </cell>
          <cell r="B388" t="str">
            <v>PM_ONLINE_STATUS</v>
          </cell>
          <cell r="C388" t="str">
            <v>char</v>
          </cell>
          <cell r="D388">
            <v>1</v>
          </cell>
        </row>
        <row r="389">
          <cell r="A389" t="str">
            <v>価格登録日時</v>
          </cell>
          <cell r="B389" t="str">
            <v>PRICE_ENTER_DT</v>
          </cell>
          <cell r="C389" t="str">
            <v>datetime</v>
          </cell>
        </row>
        <row r="390">
          <cell r="A390" t="str">
            <v>帳票コード</v>
          </cell>
          <cell r="B390" t="str">
            <v>REPORT_CD</v>
          </cell>
          <cell r="C390" t="str">
            <v>varchar</v>
          </cell>
          <cell r="D390">
            <v>2</v>
          </cell>
        </row>
        <row r="391">
          <cell r="A391" t="str">
            <v>帳票内容URL</v>
          </cell>
          <cell r="B391" t="str">
            <v>REPORT_CONTENT_URL</v>
          </cell>
          <cell r="C391" t="str">
            <v>varchar</v>
          </cell>
          <cell r="D391">
            <v>512</v>
          </cell>
        </row>
        <row r="392">
          <cell r="A392" t="str">
            <v>閲覧ステータス</v>
          </cell>
          <cell r="B392" t="str">
            <v>READING_STS</v>
          </cell>
          <cell r="C392" t="str">
            <v>char</v>
          </cell>
          <cell r="D392">
            <v>1</v>
          </cell>
        </row>
        <row r="393">
          <cell r="A393" t="str">
            <v>閲覧日時</v>
          </cell>
          <cell r="B393" t="str">
            <v>READING_DT</v>
          </cell>
          <cell r="C393" t="str">
            <v>datetime</v>
          </cell>
        </row>
        <row r="394">
          <cell r="A394" t="str">
            <v>ロック区分</v>
          </cell>
          <cell r="B394" t="str">
            <v>LOCK_CLS</v>
          </cell>
          <cell r="C394" t="str">
            <v>varchar</v>
          </cell>
          <cell r="D394">
            <v>2</v>
          </cell>
        </row>
        <row r="395">
          <cell r="A395" t="str">
            <v>ロックフラグ</v>
          </cell>
          <cell r="B395" t="str">
            <v>LOCK_FLG</v>
          </cell>
          <cell r="C395" t="str">
            <v>char</v>
          </cell>
          <cell r="D395">
            <v>1</v>
          </cell>
        </row>
        <row r="396">
          <cell r="A396" t="str">
            <v>ロック日時</v>
          </cell>
          <cell r="B396" t="str">
            <v>LOCK_DT</v>
          </cell>
          <cell r="C396" t="str">
            <v>datetime</v>
          </cell>
        </row>
        <row r="397">
          <cell r="A397" t="str">
            <v>ロック理由</v>
          </cell>
          <cell r="B397" t="str">
            <v>LOCK_REASON</v>
          </cell>
          <cell r="C397" t="str">
            <v>nvarchar</v>
          </cell>
          <cell r="D397">
            <v>200</v>
          </cell>
        </row>
        <row r="398">
          <cell r="A398" t="str">
            <v>ロック登録者</v>
          </cell>
          <cell r="B398" t="str">
            <v>LOCK_REGISTER_ID</v>
          </cell>
          <cell r="C398" t="str">
            <v>nvarchar</v>
          </cell>
          <cell r="D398">
            <v>32</v>
          </cell>
        </row>
        <row r="399">
          <cell r="A399" t="str">
            <v>ロック解除日時</v>
          </cell>
          <cell r="B399" t="str">
            <v>UNLOCK_DT</v>
          </cell>
          <cell r="C399" t="str">
            <v>datetime</v>
          </cell>
        </row>
        <row r="400">
          <cell r="A400" t="str">
            <v>ロック解除理由</v>
          </cell>
          <cell r="B400" t="str">
            <v>UNLOCK_REASON</v>
          </cell>
          <cell r="C400" t="str">
            <v>nvarchar</v>
          </cell>
          <cell r="D400">
            <v>200</v>
          </cell>
        </row>
        <row r="401">
          <cell r="A401" t="str">
            <v>ロック解除者</v>
          </cell>
          <cell r="B401" t="str">
            <v>UNLOCK_REGISTER_ID</v>
          </cell>
          <cell r="C401" t="str">
            <v>nvarchar</v>
          </cell>
          <cell r="D401">
            <v>32</v>
          </cell>
        </row>
        <row r="402">
          <cell r="A402" t="str">
            <v>預り数量</v>
          </cell>
          <cell r="B402" t="str">
            <v>DEPOSIT_QUANTITY</v>
          </cell>
          <cell r="C402" t="str">
            <v>numeric</v>
          </cell>
          <cell r="D402">
            <v>16</v>
          </cell>
          <cell r="E402">
            <v>6</v>
          </cell>
        </row>
        <row r="403">
          <cell r="A403" t="str">
            <v>総投資額</v>
          </cell>
          <cell r="B403" t="str">
            <v>TOTAL_INVEST_AMOUNT</v>
          </cell>
          <cell r="C403" t="str">
            <v>numeric</v>
          </cell>
          <cell r="D403">
            <v>12</v>
          </cell>
        </row>
        <row r="404">
          <cell r="A404" t="str">
            <v>平均取得価額</v>
          </cell>
          <cell r="B404" t="str">
            <v>AVERAGE_PRICE</v>
          </cell>
          <cell r="C404" t="str">
            <v>numeric</v>
          </cell>
          <cell r="D404">
            <v>9</v>
          </cell>
          <cell r="E404">
            <v>4</v>
          </cell>
        </row>
        <row r="405">
          <cell r="A405" t="str">
            <v>買取価格</v>
          </cell>
          <cell r="B405" t="str">
            <v>PURCHASE_PRICE</v>
          </cell>
          <cell r="C405" t="str">
            <v>numeric</v>
          </cell>
          <cell r="D405">
            <v>9</v>
          </cell>
          <cell r="E405">
            <v>2</v>
          </cell>
        </row>
        <row r="406">
          <cell r="A406" t="str">
            <v>評価額</v>
          </cell>
          <cell r="B406" t="str">
            <v>VALUATION</v>
          </cell>
          <cell r="C406" t="str">
            <v>numeric</v>
          </cell>
          <cell r="D406">
            <v>16</v>
          </cell>
          <cell r="E406">
            <v>4</v>
          </cell>
        </row>
        <row r="407">
          <cell r="A407" t="str">
            <v>評価損益</v>
          </cell>
          <cell r="B407" t="str">
            <v>PROFIT</v>
          </cell>
          <cell r="C407" t="str">
            <v>numeric</v>
          </cell>
          <cell r="D407">
            <v>16</v>
          </cell>
          <cell r="E407">
            <v>4</v>
          </cell>
        </row>
        <row r="408">
          <cell r="A408" t="str">
            <v>資産区分</v>
          </cell>
          <cell r="B408" t="str">
            <v>ASSET_CLS</v>
          </cell>
          <cell r="C408" t="str">
            <v>char</v>
          </cell>
          <cell r="D408">
            <v>1</v>
          </cell>
        </row>
        <row r="409">
          <cell r="A409" t="str">
            <v>預り金</v>
          </cell>
          <cell r="B409" t="str">
            <v>BALANCE</v>
          </cell>
          <cell r="C409" t="str">
            <v>numeric</v>
          </cell>
          <cell r="D409">
            <v>22</v>
          </cell>
          <cell r="E409">
            <v>10</v>
          </cell>
        </row>
        <row r="410">
          <cell r="A410" t="str">
            <v>換算レート</v>
          </cell>
          <cell r="B410" t="str">
            <v>EXCHANGE_RATE</v>
          </cell>
          <cell r="C410" t="str">
            <v>numeric</v>
          </cell>
          <cell r="D410">
            <v>16</v>
          </cell>
          <cell r="E410">
            <v>4</v>
          </cell>
        </row>
        <row r="411">
          <cell r="A411" t="str">
            <v>基軸通貨換算額</v>
          </cell>
          <cell r="B411" t="str">
            <v>BASE_CURRENCY_EQUIVALENT</v>
          </cell>
          <cell r="C411" t="str">
            <v>numeric</v>
          </cell>
          <cell r="D411">
            <v>22</v>
          </cell>
          <cell r="E411">
            <v>10</v>
          </cell>
        </row>
        <row r="412">
          <cell r="A412" t="str">
            <v>税金区分</v>
          </cell>
          <cell r="B412" t="str">
            <v>TAX_CLS</v>
          </cell>
          <cell r="C412" t="str">
            <v>varchar</v>
          </cell>
          <cell r="D412">
            <v>2</v>
          </cell>
        </row>
        <row r="413">
          <cell r="A413" t="str">
            <v>入手価格</v>
          </cell>
          <cell r="B413" t="str">
            <v>OBTAIN_PRICE</v>
          </cell>
          <cell r="C413" t="str">
            <v>numeric</v>
          </cell>
          <cell r="D413">
            <v>9</v>
          </cell>
          <cell r="E413">
            <v>2</v>
          </cell>
        </row>
      </sheetData>
      <sheetData sheetId="58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00">
            <a:alpha val="50000"/>
          </a:srgbClr>
        </a:solidFill>
        <a:ln>
          <a:solidFill>
            <a:srgbClr val="FFFF00"/>
          </a:solidFill>
          <a:prstDash val="sysDot"/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41"/>
  <sheetViews>
    <sheetView view="pageBreakPreview" zoomScale="85" zoomScaleNormal="85" zoomScaleSheetLayoutView="85" workbookViewId="0"/>
  </sheetViews>
  <sheetFormatPr defaultRowHeight="13.5"/>
  <cols>
    <col min="1" max="256" width="4.375" customWidth="1"/>
  </cols>
  <sheetData>
    <row r="1" spans="1:32">
      <c r="A1" s="28"/>
      <c r="B1" s="29"/>
      <c r="C1" s="29"/>
      <c r="D1" s="30"/>
      <c r="E1" s="31"/>
      <c r="F1" s="31"/>
      <c r="G1" s="32"/>
      <c r="H1" s="31"/>
      <c r="I1" s="33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>
      <c r="A2" s="28"/>
      <c r="B2" s="29"/>
      <c r="C2" s="29"/>
      <c r="D2" s="30"/>
      <c r="E2" s="31"/>
      <c r="F2" s="31"/>
      <c r="G2" s="32"/>
      <c r="H2" s="31"/>
      <c r="I2" s="33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</row>
    <row r="3" spans="1:32">
      <c r="A3" s="28"/>
      <c r="B3" s="29"/>
      <c r="C3" s="29"/>
      <c r="D3" s="30"/>
      <c r="E3" s="31"/>
      <c r="F3" s="31"/>
      <c r="G3" s="32"/>
      <c r="H3" s="31"/>
      <c r="I3" s="33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</row>
    <row r="4" spans="1:32">
      <c r="A4" s="28"/>
      <c r="B4" s="29"/>
      <c r="C4" s="29"/>
      <c r="D4" s="30"/>
      <c r="E4" s="31"/>
      <c r="F4" s="31"/>
      <c r="G4" s="32"/>
      <c r="H4" s="31"/>
      <c r="I4" s="33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</row>
    <row r="5" spans="1:32">
      <c r="A5" s="28"/>
      <c r="B5" s="29"/>
      <c r="C5" s="29"/>
      <c r="D5" s="30"/>
      <c r="E5" s="31"/>
      <c r="F5" s="31"/>
      <c r="G5" s="32"/>
      <c r="H5" s="31"/>
      <c r="I5" s="33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</row>
    <row r="6" spans="1:32">
      <c r="A6" s="28"/>
      <c r="B6" s="29"/>
      <c r="C6" s="29"/>
      <c r="D6" s="30"/>
      <c r="E6" s="31"/>
      <c r="F6" s="31"/>
      <c r="G6" s="32"/>
      <c r="H6" s="31"/>
      <c r="I6" s="33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</row>
    <row r="7" spans="1:32" s="27" customFormat="1">
      <c r="A7" s="28"/>
      <c r="B7" s="29"/>
      <c r="C7" s="29"/>
      <c r="D7" s="30"/>
      <c r="E7" s="31"/>
      <c r="F7" s="31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1"/>
      <c r="Z7" s="31"/>
      <c r="AA7" s="31"/>
      <c r="AB7" s="31"/>
      <c r="AC7" s="31"/>
      <c r="AD7" s="31"/>
      <c r="AE7" s="31"/>
      <c r="AF7" s="31"/>
    </row>
    <row r="8" spans="1:32" ht="14.25" thickBot="1">
      <c r="A8" s="28"/>
      <c r="B8" s="29"/>
      <c r="C8" s="29"/>
      <c r="D8" s="30"/>
      <c r="E8" s="31"/>
      <c r="F8" s="31"/>
      <c r="G8" s="34"/>
      <c r="H8" s="35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7"/>
      <c r="Y8" s="31"/>
      <c r="Z8" s="31"/>
      <c r="AA8" s="31"/>
      <c r="AB8" s="31"/>
      <c r="AC8" s="31"/>
      <c r="AD8" s="31"/>
      <c r="AE8" s="31"/>
      <c r="AF8" s="31"/>
    </row>
    <row r="9" spans="1:32">
      <c r="A9" s="28"/>
      <c r="B9" s="29"/>
      <c r="C9" s="29"/>
      <c r="D9" s="30"/>
      <c r="E9" s="31"/>
      <c r="F9" s="31"/>
      <c r="G9" s="35"/>
      <c r="H9" s="38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9"/>
      <c r="Z9" s="31"/>
      <c r="AA9" s="31"/>
      <c r="AB9" s="31"/>
      <c r="AC9" s="31"/>
      <c r="AD9" s="31"/>
      <c r="AE9" s="31"/>
      <c r="AF9" s="31"/>
    </row>
    <row r="10" spans="1:32">
      <c r="A10" s="28"/>
      <c r="B10" s="29"/>
      <c r="C10" s="29"/>
      <c r="D10" s="30"/>
      <c r="E10" s="31"/>
      <c r="F10" s="31"/>
      <c r="G10" s="35"/>
      <c r="H10" s="40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41"/>
      <c r="Z10" s="31"/>
      <c r="AA10" s="31"/>
      <c r="AB10" s="31"/>
      <c r="AC10" s="31"/>
      <c r="AD10" s="31"/>
      <c r="AE10" s="31"/>
      <c r="AF10" s="31"/>
    </row>
    <row r="11" spans="1:32">
      <c r="A11" s="28"/>
      <c r="B11" s="29"/>
      <c r="C11" s="29"/>
      <c r="D11" s="30"/>
      <c r="E11" s="31"/>
      <c r="F11" s="31"/>
      <c r="G11" s="35"/>
      <c r="H11" s="40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41"/>
      <c r="Z11" s="31"/>
      <c r="AA11" s="31"/>
      <c r="AB11" s="31"/>
      <c r="AC11" s="31"/>
      <c r="AD11" s="31"/>
      <c r="AE11" s="31"/>
      <c r="AF11" s="31"/>
    </row>
    <row r="12" spans="1:32">
      <c r="A12" s="28"/>
      <c r="B12" s="29"/>
      <c r="C12" s="29"/>
      <c r="D12" s="30"/>
      <c r="E12" s="31"/>
      <c r="F12" s="31"/>
      <c r="G12" s="34"/>
      <c r="H12" s="40"/>
      <c r="I12" s="172" t="s">
        <v>13</v>
      </c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42"/>
      <c r="Z12" s="31"/>
      <c r="AA12" s="31"/>
      <c r="AB12" s="31"/>
      <c r="AC12" s="31"/>
      <c r="AD12" s="31"/>
      <c r="AE12" s="31"/>
      <c r="AF12" s="31"/>
    </row>
    <row r="13" spans="1:32">
      <c r="A13" s="28"/>
      <c r="B13" s="29"/>
      <c r="C13" s="29"/>
      <c r="D13" s="30"/>
      <c r="E13" s="31"/>
      <c r="F13" s="31"/>
      <c r="G13" s="34"/>
      <c r="H13" s="40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42"/>
      <c r="Z13" s="31"/>
      <c r="AA13" s="31"/>
      <c r="AB13" s="31"/>
      <c r="AC13" s="31"/>
      <c r="AD13" s="31"/>
      <c r="AE13" s="31"/>
      <c r="AF13" s="31"/>
    </row>
    <row r="14" spans="1:32">
      <c r="A14" s="28"/>
      <c r="B14" s="29"/>
      <c r="C14" s="29"/>
      <c r="D14" s="30"/>
      <c r="E14" s="31"/>
      <c r="F14" s="31"/>
      <c r="G14" s="34"/>
      <c r="H14" s="40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42"/>
      <c r="Z14" s="31"/>
      <c r="AA14" s="31"/>
      <c r="AB14" s="31"/>
      <c r="AC14" s="31"/>
      <c r="AD14" s="31"/>
      <c r="AE14" s="31"/>
      <c r="AF14" s="31"/>
    </row>
    <row r="15" spans="1:32" ht="30.75">
      <c r="A15" s="28"/>
      <c r="B15" s="29"/>
      <c r="C15" s="29"/>
      <c r="D15" s="30"/>
      <c r="E15" s="31"/>
      <c r="F15" s="31"/>
      <c r="G15" s="34"/>
      <c r="H15" s="40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42"/>
      <c r="Z15" s="31"/>
      <c r="AA15" s="31"/>
      <c r="AB15" s="31"/>
      <c r="AC15" s="31"/>
      <c r="AD15" s="31"/>
      <c r="AE15" s="31"/>
      <c r="AF15" s="31"/>
    </row>
    <row r="16" spans="1:32">
      <c r="A16" s="28"/>
      <c r="B16" s="29"/>
      <c r="C16" s="29"/>
      <c r="D16" s="30"/>
      <c r="E16" s="31"/>
      <c r="F16" s="31"/>
      <c r="G16" s="34"/>
      <c r="H16" s="40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4"/>
      <c r="Y16" s="42"/>
      <c r="Z16" s="31"/>
      <c r="AA16" s="31"/>
      <c r="AB16" s="31"/>
      <c r="AC16" s="31"/>
      <c r="AD16" s="31"/>
      <c r="AE16" s="31"/>
      <c r="AF16" s="31"/>
    </row>
    <row r="17" spans="1:32" ht="13.5" customHeight="1">
      <c r="A17" s="28"/>
      <c r="B17" s="29"/>
      <c r="C17" s="29"/>
      <c r="D17" s="30"/>
      <c r="E17" s="31"/>
      <c r="F17" s="31"/>
      <c r="G17" s="34"/>
      <c r="H17" s="40"/>
      <c r="I17" s="171" t="s">
        <v>14</v>
      </c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42"/>
      <c r="Z17" s="31"/>
      <c r="AA17" s="31"/>
      <c r="AB17" s="31"/>
      <c r="AC17" s="31"/>
      <c r="AD17" s="31"/>
      <c r="AE17" s="31"/>
      <c r="AF17" s="31"/>
    </row>
    <row r="18" spans="1:32" ht="13.5" customHeight="1">
      <c r="A18" s="28"/>
      <c r="B18" s="29"/>
      <c r="C18" s="29"/>
      <c r="D18" s="30"/>
      <c r="E18" s="31"/>
      <c r="F18" s="31"/>
      <c r="G18" s="34"/>
      <c r="H18" s="40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42"/>
      <c r="Z18" s="31"/>
      <c r="AA18" s="31"/>
      <c r="AB18" s="31"/>
      <c r="AC18" s="31"/>
      <c r="AD18" s="31"/>
      <c r="AE18" s="31"/>
      <c r="AF18" s="31"/>
    </row>
    <row r="19" spans="1:32" ht="13.5" customHeight="1">
      <c r="A19" s="28"/>
      <c r="B19" s="29"/>
      <c r="C19" s="29"/>
      <c r="D19" s="30"/>
      <c r="E19" s="31"/>
      <c r="F19" s="31"/>
      <c r="G19" s="34"/>
      <c r="H19" s="40"/>
      <c r="I19" s="171" t="s">
        <v>156</v>
      </c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42"/>
      <c r="Z19" s="31"/>
      <c r="AA19" s="31"/>
      <c r="AB19" s="31"/>
      <c r="AC19" s="31"/>
      <c r="AD19" s="31"/>
      <c r="AE19" s="31"/>
      <c r="AF19" s="31"/>
    </row>
    <row r="20" spans="1:32" ht="13.5" customHeight="1">
      <c r="A20" s="28"/>
      <c r="B20" s="29"/>
      <c r="C20" s="29"/>
      <c r="D20" s="30"/>
      <c r="E20" s="31"/>
      <c r="F20" s="31"/>
      <c r="G20" s="34"/>
      <c r="H20" s="40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42"/>
      <c r="Z20" s="31"/>
      <c r="AA20" s="31"/>
      <c r="AB20" s="31"/>
      <c r="AC20" s="31"/>
      <c r="AD20" s="31"/>
      <c r="AE20" s="31"/>
      <c r="AF20" s="31"/>
    </row>
    <row r="21" spans="1:32">
      <c r="A21" s="28"/>
      <c r="B21" s="29"/>
      <c r="C21" s="29"/>
      <c r="D21" s="30"/>
      <c r="E21" s="31"/>
      <c r="F21" s="31"/>
      <c r="G21" s="34"/>
      <c r="H21" s="40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42"/>
      <c r="Z21" s="31"/>
      <c r="AA21" s="31"/>
      <c r="AB21" s="31"/>
      <c r="AC21" s="31"/>
      <c r="AD21" s="31"/>
      <c r="AE21" s="31"/>
      <c r="AF21" s="31"/>
    </row>
    <row r="22" spans="1:32">
      <c r="A22" s="28"/>
      <c r="B22" s="29"/>
      <c r="C22" s="29"/>
      <c r="D22" s="30"/>
      <c r="E22" s="31"/>
      <c r="F22" s="31"/>
      <c r="G22" s="34"/>
      <c r="H22" s="40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42"/>
      <c r="Z22" s="31"/>
      <c r="AA22" s="31"/>
      <c r="AB22" s="31"/>
      <c r="AC22" s="31"/>
      <c r="AD22" s="31"/>
      <c r="AE22" s="31"/>
      <c r="AF22" s="31"/>
    </row>
    <row r="23" spans="1:32">
      <c r="A23" s="28"/>
      <c r="B23" s="29"/>
      <c r="C23" s="29"/>
      <c r="D23" s="30"/>
      <c r="E23" s="31"/>
      <c r="F23" s="31"/>
      <c r="G23" s="34"/>
      <c r="H23" s="40"/>
      <c r="I23" s="173" t="s">
        <v>15</v>
      </c>
      <c r="J23" s="173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  <c r="W23" s="173"/>
      <c r="X23" s="173"/>
      <c r="Y23" s="42"/>
      <c r="Z23" s="31"/>
      <c r="AA23" s="31"/>
      <c r="AB23" s="31"/>
      <c r="AC23" s="31"/>
      <c r="AD23" s="31"/>
      <c r="AE23" s="31"/>
      <c r="AF23" s="31"/>
    </row>
    <row r="24" spans="1:32">
      <c r="A24" s="28"/>
      <c r="B24" s="29"/>
      <c r="C24" s="29"/>
      <c r="D24" s="30"/>
      <c r="E24" s="31"/>
      <c r="F24" s="31"/>
      <c r="G24" s="34"/>
      <c r="H24" s="40"/>
      <c r="I24" s="173"/>
      <c r="J24" s="17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  <c r="W24" s="173"/>
      <c r="X24" s="173"/>
      <c r="Y24" s="42"/>
      <c r="Z24" s="31"/>
      <c r="AA24" s="31"/>
      <c r="AB24" s="31"/>
      <c r="AC24" s="31"/>
      <c r="AD24" s="31"/>
      <c r="AE24" s="31"/>
      <c r="AF24" s="31"/>
    </row>
    <row r="25" spans="1:32" ht="24">
      <c r="A25" s="28"/>
      <c r="B25" s="29"/>
      <c r="C25" s="29"/>
      <c r="D25" s="30"/>
      <c r="E25" s="35"/>
      <c r="F25" s="35"/>
      <c r="G25" s="35"/>
      <c r="H25" s="40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42"/>
      <c r="Z25" s="35"/>
      <c r="AA25" s="35"/>
      <c r="AB25" s="31"/>
      <c r="AC25" s="31"/>
      <c r="AD25" s="31"/>
      <c r="AE25" s="31"/>
      <c r="AF25" s="31"/>
    </row>
    <row r="26" spans="1:32">
      <c r="A26" s="28"/>
      <c r="B26" s="29"/>
      <c r="C26" s="29"/>
      <c r="D26" s="30"/>
      <c r="E26" s="35"/>
      <c r="F26" s="35"/>
      <c r="G26" s="35"/>
      <c r="H26" s="40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42"/>
      <c r="Z26" s="35"/>
      <c r="AA26" s="35"/>
      <c r="AB26" s="31"/>
      <c r="AC26" s="31"/>
      <c r="AD26" s="31"/>
      <c r="AE26" s="31"/>
      <c r="AF26" s="31"/>
    </row>
    <row r="27" spans="1:32" ht="14.25" thickBot="1">
      <c r="A27" s="28"/>
      <c r="B27" s="29"/>
      <c r="C27" s="29"/>
      <c r="D27" s="30"/>
      <c r="E27" s="31"/>
      <c r="F27" s="31"/>
      <c r="G27" s="34"/>
      <c r="H27" s="43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44"/>
      <c r="Z27" s="35"/>
      <c r="AA27" s="35"/>
      <c r="AB27" s="35"/>
      <c r="AC27" s="35"/>
      <c r="AD27" s="35"/>
      <c r="AE27" s="35"/>
      <c r="AF27" s="31"/>
    </row>
    <row r="28" spans="1:32">
      <c r="A28" s="28"/>
      <c r="B28" s="29"/>
      <c r="C28" s="29"/>
      <c r="D28" s="30"/>
      <c r="E28" s="31"/>
      <c r="F28" s="31"/>
      <c r="G28" s="32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1"/>
    </row>
    <row r="29" spans="1:32">
      <c r="A29" s="28"/>
      <c r="B29" s="29"/>
      <c r="C29" s="29"/>
      <c r="D29" s="30"/>
      <c r="E29" s="31"/>
      <c r="F29" s="31"/>
      <c r="G29" s="32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1"/>
      <c r="Z29" s="35"/>
      <c r="AA29" s="35"/>
      <c r="AB29" s="35"/>
      <c r="AC29" s="35"/>
      <c r="AD29" s="35"/>
      <c r="AE29" s="35"/>
      <c r="AF29" s="31"/>
    </row>
    <row r="30" spans="1:32" s="27" customFormat="1">
      <c r="A30" s="28"/>
      <c r="B30" s="29"/>
      <c r="C30" s="29"/>
      <c r="D30" s="30"/>
      <c r="E30" s="31"/>
      <c r="F30" s="31"/>
      <c r="G30" s="32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1"/>
      <c r="Z30" s="35"/>
      <c r="AA30" s="35"/>
      <c r="AB30" s="35"/>
      <c r="AC30" s="35"/>
      <c r="AD30" s="35"/>
      <c r="AE30" s="35"/>
      <c r="AF30" s="31"/>
    </row>
    <row r="31" spans="1:32" s="27" customFormat="1">
      <c r="A31" s="28"/>
      <c r="B31" s="29"/>
      <c r="C31" s="29"/>
      <c r="D31" s="30"/>
      <c r="E31" s="31"/>
      <c r="F31" s="31"/>
      <c r="G31" s="32"/>
      <c r="H31" s="35"/>
      <c r="I31" s="167">
        <f>MAX(更新履歴!A:A)</f>
        <v>43686</v>
      </c>
      <c r="J31" s="167"/>
      <c r="K31" s="167"/>
      <c r="L31" s="167"/>
      <c r="M31" s="167"/>
      <c r="N31" s="167"/>
      <c r="O31" s="167"/>
      <c r="P31" s="167"/>
      <c r="Q31" s="167"/>
      <c r="R31" s="167"/>
      <c r="S31" s="167"/>
      <c r="T31" s="167"/>
      <c r="U31" s="167"/>
      <c r="V31" s="167"/>
      <c r="W31" s="167"/>
      <c r="X31" s="167"/>
      <c r="Y31" s="35"/>
      <c r="Z31" s="35"/>
      <c r="AA31" s="35"/>
      <c r="AB31" s="35"/>
      <c r="AC31" s="35"/>
      <c r="AD31" s="35"/>
      <c r="AE31" s="35"/>
      <c r="AF31" s="31"/>
    </row>
    <row r="32" spans="1:32" s="27" customFormat="1">
      <c r="A32" s="28"/>
      <c r="B32" s="29"/>
      <c r="C32" s="29"/>
      <c r="D32" s="30"/>
      <c r="E32" s="31"/>
      <c r="F32" s="31"/>
      <c r="G32" s="32"/>
      <c r="H32" s="35"/>
      <c r="I32" s="167"/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V32" s="167"/>
      <c r="W32" s="167"/>
      <c r="X32" s="167"/>
      <c r="Y32" s="45"/>
      <c r="Z32" s="35"/>
      <c r="AA32" s="154"/>
      <c r="AB32" s="168" t="s">
        <v>16</v>
      </c>
      <c r="AC32" s="168"/>
      <c r="AD32" s="168"/>
      <c r="AE32" s="168"/>
      <c r="AF32" s="168"/>
    </row>
    <row r="33" spans="1:32" s="27" customFormat="1" ht="15">
      <c r="A33" s="28"/>
      <c r="B33" s="29"/>
      <c r="C33" s="29"/>
      <c r="D33" s="30"/>
      <c r="E33" s="31"/>
      <c r="F33" s="31"/>
      <c r="G33" s="32"/>
      <c r="H33" s="31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7"/>
      <c r="Y33" s="35"/>
      <c r="Z33" s="35"/>
      <c r="AA33" s="35"/>
      <c r="AB33" s="35"/>
      <c r="AC33" s="35"/>
      <c r="AD33" s="35"/>
      <c r="AE33" s="35"/>
      <c r="AF33" s="31"/>
    </row>
    <row r="34" spans="1:32" s="27" customFormat="1" ht="15">
      <c r="A34" s="28"/>
      <c r="B34" s="29"/>
      <c r="C34" s="29"/>
      <c r="D34" s="30"/>
      <c r="E34" s="31"/>
      <c r="F34" s="31"/>
      <c r="G34" s="32"/>
      <c r="H34" s="31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7"/>
      <c r="Y34" s="35"/>
      <c r="Z34" s="35"/>
      <c r="AA34" s="169" t="s">
        <v>17</v>
      </c>
      <c r="AB34" s="170"/>
      <c r="AC34" s="169" t="s">
        <v>18</v>
      </c>
      <c r="AD34" s="170"/>
      <c r="AE34" s="169" t="s">
        <v>19</v>
      </c>
      <c r="AF34" s="170"/>
    </row>
    <row r="35" spans="1:32" s="27" customFormat="1" ht="15">
      <c r="A35" s="28"/>
      <c r="B35" s="29"/>
      <c r="C35" s="29"/>
      <c r="D35" s="30"/>
      <c r="E35" s="31"/>
      <c r="F35" s="31"/>
      <c r="G35" s="32"/>
      <c r="H35" s="31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7"/>
      <c r="Y35" s="31"/>
      <c r="Z35" s="35"/>
      <c r="AA35" s="48"/>
      <c r="AB35" s="49"/>
      <c r="AC35" s="48"/>
      <c r="AD35" s="49"/>
      <c r="AE35" s="48"/>
      <c r="AF35" s="49"/>
    </row>
    <row r="36" spans="1:32" s="27" customFormat="1">
      <c r="A36" s="28"/>
      <c r="B36" s="29"/>
      <c r="C36" s="29"/>
      <c r="D36" s="30"/>
      <c r="E36" s="31"/>
      <c r="F36" s="31"/>
      <c r="G36" s="32"/>
      <c r="H36" s="31"/>
      <c r="I36" s="33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5"/>
      <c r="AA36" s="48"/>
      <c r="AB36" s="49"/>
      <c r="AC36" s="48"/>
      <c r="AD36" s="49"/>
      <c r="AE36" s="48"/>
      <c r="AF36" s="49"/>
    </row>
    <row r="37" spans="1:32" s="27" customFormat="1">
      <c r="A37" s="28"/>
      <c r="B37" s="29"/>
      <c r="C37" s="29"/>
      <c r="D37" s="30"/>
      <c r="E37" s="31"/>
      <c r="F37" s="31"/>
      <c r="G37" s="32"/>
      <c r="H37" s="31"/>
      <c r="I37" s="33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5"/>
      <c r="AA37" s="48"/>
      <c r="AB37" s="49"/>
      <c r="AC37" s="48"/>
      <c r="AD37" s="49"/>
      <c r="AE37" s="48"/>
      <c r="AF37" s="49"/>
    </row>
    <row r="38" spans="1:32" s="27" customFormat="1">
      <c r="A38" s="28"/>
      <c r="B38" s="29"/>
      <c r="C38" s="29"/>
      <c r="D38" s="30"/>
      <c r="E38" s="31"/>
      <c r="F38" s="31"/>
      <c r="G38" s="32"/>
      <c r="H38" s="31"/>
      <c r="I38" s="33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5"/>
      <c r="AA38" s="50"/>
      <c r="AB38" s="51"/>
      <c r="AC38" s="50"/>
      <c r="AD38" s="51"/>
      <c r="AE38" s="50"/>
      <c r="AF38" s="51"/>
    </row>
    <row r="39" spans="1:32">
      <c r="A39" s="20"/>
      <c r="B39" s="21"/>
      <c r="C39" s="21"/>
      <c r="D39" s="22"/>
      <c r="E39" s="23"/>
      <c r="F39" s="23"/>
      <c r="G39" s="24"/>
      <c r="H39" s="23"/>
      <c r="I39" s="2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6"/>
      <c r="AA39" s="26"/>
      <c r="AB39" s="26"/>
      <c r="AC39" s="26"/>
      <c r="AD39" s="26"/>
      <c r="AE39" s="26"/>
      <c r="AF39" s="23"/>
    </row>
    <row r="40" spans="1:32">
      <c r="A40" s="20"/>
      <c r="B40" s="21"/>
      <c r="C40" s="21"/>
      <c r="D40" s="22"/>
      <c r="E40" s="23"/>
      <c r="F40" s="23"/>
      <c r="G40" s="24"/>
      <c r="H40" s="23"/>
      <c r="I40" s="2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6"/>
      <c r="AA40" s="26"/>
      <c r="AB40" s="26"/>
      <c r="AC40" s="26"/>
      <c r="AD40" s="26"/>
      <c r="AE40" s="26"/>
      <c r="AF40" s="23"/>
    </row>
    <row r="41" spans="1:32">
      <c r="A41" s="20"/>
      <c r="B41" s="21"/>
      <c r="C41" s="21"/>
      <c r="D41" s="22"/>
      <c r="E41" s="23"/>
      <c r="F41" s="23"/>
      <c r="G41" s="24"/>
      <c r="H41" s="23"/>
      <c r="I41" s="2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6"/>
      <c r="AA41" s="26"/>
      <c r="AB41" s="26"/>
      <c r="AC41" s="26"/>
      <c r="AD41" s="26"/>
      <c r="AE41" s="26"/>
      <c r="AF41" s="23"/>
    </row>
  </sheetData>
  <mergeCells count="11">
    <mergeCell ref="I31:X32"/>
    <mergeCell ref="AB32:AF32"/>
    <mergeCell ref="AA34:AB34"/>
    <mergeCell ref="AC34:AD34"/>
    <mergeCell ref="AE34:AF34"/>
    <mergeCell ref="I12:X14"/>
    <mergeCell ref="I17:X18"/>
    <mergeCell ref="I19:X20"/>
    <mergeCell ref="I21:X22"/>
    <mergeCell ref="I23:X24"/>
    <mergeCell ref="I25:X25"/>
  </mergeCells>
  <phoneticPr fontId="5"/>
  <pageMargins left="0.7" right="0.7" top="0.75" bottom="0.75" header="0.3" footer="0.3"/>
  <pageSetup paperSize="9" scale="95" orientation="landscape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9"/>
  <sheetViews>
    <sheetView view="pageBreakPreview" zoomScaleNormal="100" zoomScaleSheetLayoutView="100" workbookViewId="0"/>
  </sheetViews>
  <sheetFormatPr defaultRowHeight="11.25"/>
  <cols>
    <col min="1" max="2" width="13.125" style="1" customWidth="1"/>
    <col min="3" max="4" width="9" style="1"/>
    <col min="5" max="5" width="79.625" style="1" customWidth="1"/>
    <col min="6" max="16384" width="9" style="1"/>
  </cols>
  <sheetData>
    <row r="1" spans="1:5">
      <c r="A1" s="233" t="s">
        <v>6</v>
      </c>
      <c r="B1" s="234"/>
      <c r="C1" s="234"/>
      <c r="D1" s="234"/>
      <c r="E1" s="235"/>
    </row>
    <row r="2" spans="1:5">
      <c r="A2" s="236" t="s">
        <v>7</v>
      </c>
      <c r="B2" s="237" t="s">
        <v>8</v>
      </c>
      <c r="C2" s="238" t="s">
        <v>9</v>
      </c>
      <c r="D2" s="237" t="s">
        <v>157</v>
      </c>
      <c r="E2" s="2" t="s">
        <v>10</v>
      </c>
    </row>
    <row r="3" spans="1:5">
      <c r="A3" s="239">
        <v>43686</v>
      </c>
      <c r="B3" s="240" t="s">
        <v>158</v>
      </c>
      <c r="C3" s="241">
        <v>1</v>
      </c>
      <c r="D3" s="242" t="s">
        <v>11</v>
      </c>
      <c r="E3" s="3" t="s">
        <v>12</v>
      </c>
    </row>
    <row r="4" spans="1:5">
      <c r="A4" s="243"/>
      <c r="B4" s="240"/>
      <c r="C4" s="241"/>
      <c r="D4" s="244"/>
      <c r="E4" s="3"/>
    </row>
    <row r="5" spans="1:5">
      <c r="A5" s="245"/>
      <c r="B5" s="246"/>
      <c r="C5" s="247"/>
      <c r="D5" s="248"/>
      <c r="E5" s="4"/>
    </row>
    <row r="6" spans="1:5">
      <c r="A6" s="245"/>
      <c r="B6" s="240"/>
      <c r="C6" s="241"/>
      <c r="D6" s="244"/>
      <c r="E6" s="3"/>
    </row>
    <row r="7" spans="1:5">
      <c r="A7" s="243"/>
      <c r="B7" s="240"/>
      <c r="C7" s="241"/>
      <c r="D7" s="244"/>
      <c r="E7" s="3"/>
    </row>
    <row r="8" spans="1:5">
      <c r="A8" s="243"/>
      <c r="B8" s="240"/>
      <c r="C8" s="241"/>
      <c r="D8" s="244"/>
      <c r="E8" s="3"/>
    </row>
    <row r="9" spans="1:5">
      <c r="A9" s="243"/>
      <c r="B9" s="240"/>
      <c r="C9" s="241"/>
      <c r="D9" s="244"/>
      <c r="E9" s="3"/>
    </row>
    <row r="10" spans="1:5">
      <c r="A10" s="243"/>
      <c r="B10" s="240"/>
      <c r="C10" s="241"/>
      <c r="D10" s="244"/>
      <c r="E10" s="5"/>
    </row>
    <row r="11" spans="1:5">
      <c r="A11" s="243"/>
      <c r="B11" s="240"/>
      <c r="C11" s="241"/>
      <c r="D11" s="244"/>
      <c r="E11" s="3"/>
    </row>
    <row r="12" spans="1:5">
      <c r="A12" s="243"/>
      <c r="B12" s="240"/>
      <c r="C12" s="241"/>
      <c r="D12" s="244"/>
      <c r="E12" s="3"/>
    </row>
    <row r="13" spans="1:5">
      <c r="A13" s="243"/>
      <c r="B13" s="240"/>
      <c r="C13" s="241"/>
      <c r="D13" s="244"/>
      <c r="E13" s="3"/>
    </row>
    <row r="14" spans="1:5">
      <c r="A14" s="243"/>
      <c r="B14" s="240"/>
      <c r="C14" s="241"/>
      <c r="D14" s="244"/>
      <c r="E14" s="3"/>
    </row>
    <row r="15" spans="1:5">
      <c r="A15" s="243"/>
      <c r="B15" s="240"/>
      <c r="C15" s="241"/>
      <c r="D15" s="244"/>
      <c r="E15" s="3"/>
    </row>
    <row r="16" spans="1:5">
      <c r="A16" s="243"/>
      <c r="B16" s="240"/>
      <c r="C16" s="241"/>
      <c r="D16" s="244"/>
      <c r="E16" s="3"/>
    </row>
    <row r="17" spans="1:5">
      <c r="A17" s="243"/>
      <c r="B17" s="240"/>
      <c r="C17" s="241"/>
      <c r="D17" s="244"/>
      <c r="E17" s="3"/>
    </row>
    <row r="18" spans="1:5">
      <c r="A18" s="243"/>
      <c r="B18" s="240"/>
      <c r="C18" s="241"/>
      <c r="D18" s="244"/>
      <c r="E18" s="3"/>
    </row>
    <row r="19" spans="1:5">
      <c r="A19" s="243"/>
      <c r="B19" s="240"/>
      <c r="C19" s="241"/>
      <c r="D19" s="244"/>
      <c r="E19" s="3"/>
    </row>
    <row r="20" spans="1:5">
      <c r="A20" s="243"/>
      <c r="B20" s="240"/>
      <c r="C20" s="241"/>
      <c r="D20" s="244"/>
      <c r="E20" s="3"/>
    </row>
    <row r="21" spans="1:5">
      <c r="A21" s="243"/>
      <c r="B21" s="240"/>
      <c r="C21" s="241"/>
      <c r="D21" s="244"/>
      <c r="E21" s="3"/>
    </row>
    <row r="22" spans="1:5">
      <c r="A22" s="243"/>
      <c r="B22" s="240"/>
      <c r="C22" s="241"/>
      <c r="D22" s="244"/>
      <c r="E22" s="3"/>
    </row>
    <row r="23" spans="1:5">
      <c r="A23" s="243"/>
      <c r="B23" s="240"/>
      <c r="C23" s="241"/>
      <c r="D23" s="244"/>
      <c r="E23" s="3"/>
    </row>
    <row r="24" spans="1:5">
      <c r="A24" s="243"/>
      <c r="B24" s="240"/>
      <c r="C24" s="241"/>
      <c r="D24" s="244"/>
      <c r="E24" s="3"/>
    </row>
    <row r="25" spans="1:5">
      <c r="A25" s="243"/>
      <c r="B25" s="240"/>
      <c r="C25" s="241"/>
      <c r="D25" s="244"/>
      <c r="E25" s="3"/>
    </row>
    <row r="26" spans="1:5">
      <c r="A26" s="243"/>
      <c r="B26" s="240"/>
      <c r="C26" s="241"/>
      <c r="D26" s="244"/>
      <c r="E26" s="3"/>
    </row>
    <row r="27" spans="1:5">
      <c r="A27" s="243"/>
      <c r="B27" s="240"/>
      <c r="C27" s="241"/>
      <c r="D27" s="244"/>
      <c r="E27" s="3"/>
    </row>
    <row r="28" spans="1:5">
      <c r="A28" s="243"/>
      <c r="B28" s="240"/>
      <c r="C28" s="241"/>
      <c r="D28" s="244"/>
      <c r="E28" s="3"/>
    </row>
    <row r="29" spans="1:5">
      <c r="A29" s="243"/>
      <c r="B29" s="240"/>
      <c r="C29" s="241"/>
      <c r="D29" s="244"/>
      <c r="E29" s="3"/>
    </row>
    <row r="30" spans="1:5">
      <c r="A30" s="243"/>
      <c r="B30" s="240"/>
      <c r="C30" s="241"/>
      <c r="D30" s="244"/>
      <c r="E30" s="3"/>
    </row>
    <row r="31" spans="1:5">
      <c r="A31" s="243"/>
      <c r="B31" s="240"/>
      <c r="C31" s="241"/>
      <c r="D31" s="244"/>
      <c r="E31" s="3"/>
    </row>
    <row r="32" spans="1:5">
      <c r="A32" s="243"/>
      <c r="B32" s="240"/>
      <c r="C32" s="241"/>
      <c r="D32" s="244"/>
      <c r="E32" s="3"/>
    </row>
    <row r="33" spans="1:5">
      <c r="A33" s="243"/>
      <c r="B33" s="240"/>
      <c r="C33" s="241"/>
      <c r="D33" s="244"/>
      <c r="E33" s="3"/>
    </row>
    <row r="34" spans="1:5">
      <c r="A34" s="243"/>
      <c r="B34" s="240"/>
      <c r="C34" s="241"/>
      <c r="D34" s="244"/>
      <c r="E34" s="3"/>
    </row>
    <row r="35" spans="1:5">
      <c r="A35" s="243"/>
      <c r="B35" s="240"/>
      <c r="C35" s="241"/>
      <c r="D35" s="244"/>
      <c r="E35" s="3"/>
    </row>
    <row r="36" spans="1:5">
      <c r="A36" s="243"/>
      <c r="B36" s="240"/>
      <c r="C36" s="241"/>
      <c r="D36" s="244"/>
      <c r="E36" s="3"/>
    </row>
    <row r="37" spans="1:5">
      <c r="A37" s="243"/>
      <c r="B37" s="240"/>
      <c r="C37" s="241"/>
      <c r="D37" s="244"/>
      <c r="E37" s="3"/>
    </row>
    <row r="38" spans="1:5">
      <c r="A38" s="243"/>
      <c r="B38" s="240"/>
      <c r="C38" s="241"/>
      <c r="D38" s="244"/>
      <c r="E38" s="3"/>
    </row>
    <row r="39" spans="1:5">
      <c r="A39" s="243"/>
      <c r="B39" s="240"/>
      <c r="C39" s="241"/>
      <c r="D39" s="244"/>
      <c r="E39" s="3"/>
    </row>
  </sheetData>
  <phoneticPr fontId="5"/>
  <pageMargins left="0.7" right="0.7" top="0.75" bottom="0.75" header="0.3" footer="0.3"/>
  <pageSetup paperSize="9" scale="75" orientation="landscape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B37"/>
  <sheetViews>
    <sheetView view="pageBreakPreview" zoomScaleNormal="100" zoomScaleSheetLayoutView="100" workbookViewId="0">
      <selection activeCell="F48" sqref="F48"/>
    </sheetView>
  </sheetViews>
  <sheetFormatPr defaultRowHeight="11.25"/>
  <cols>
    <col min="1" max="256" width="5" style="1" customWidth="1"/>
    <col min="257" max="16384" width="9" style="1"/>
  </cols>
  <sheetData>
    <row r="2" spans="2:28">
      <c r="B2" s="7" t="s">
        <v>159</v>
      </c>
      <c r="C2" s="7"/>
      <c r="D2" s="8"/>
      <c r="E2" s="8"/>
      <c r="F2" s="8"/>
      <c r="G2" s="8"/>
      <c r="H2" s="8"/>
      <c r="I2" s="8"/>
      <c r="J2" s="8"/>
      <c r="K2" s="8"/>
      <c r="L2" s="8"/>
      <c r="M2" s="9"/>
      <c r="N2" s="8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10"/>
    </row>
    <row r="3" spans="2:28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2"/>
      <c r="S3" s="12"/>
      <c r="T3" s="12"/>
      <c r="U3" s="12"/>
      <c r="V3" s="12"/>
      <c r="W3" s="12"/>
      <c r="X3" s="12"/>
      <c r="Y3" s="12"/>
      <c r="Z3" s="12"/>
      <c r="AA3" s="12"/>
      <c r="AB3" s="13"/>
    </row>
    <row r="4" spans="2:28">
      <c r="B4" s="14"/>
      <c r="C4" s="11" t="s">
        <v>160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2"/>
      <c r="S4" s="12"/>
      <c r="T4" s="12"/>
      <c r="U4" s="12"/>
      <c r="V4" s="12"/>
      <c r="W4" s="12"/>
      <c r="X4" s="12"/>
      <c r="Y4" s="12"/>
      <c r="Z4" s="12"/>
      <c r="AA4" s="12"/>
      <c r="AB4" s="13"/>
    </row>
    <row r="5" spans="2:28">
      <c r="B5" s="14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2"/>
      <c r="S5" s="12"/>
      <c r="T5" s="12"/>
      <c r="U5" s="12"/>
      <c r="V5" s="12"/>
      <c r="W5" s="12"/>
      <c r="X5" s="12"/>
      <c r="Y5" s="12"/>
      <c r="Z5" s="12"/>
      <c r="AA5" s="12"/>
      <c r="AB5" s="13"/>
    </row>
    <row r="6" spans="2:28">
      <c r="B6" s="14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15"/>
      <c r="V6" s="15"/>
      <c r="W6" s="15"/>
      <c r="X6" s="15"/>
      <c r="Y6" s="15"/>
      <c r="Z6" s="15"/>
      <c r="AA6" s="15"/>
      <c r="AB6" s="16"/>
    </row>
    <row r="7" spans="2:28">
      <c r="B7" s="14"/>
      <c r="C7" s="11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15"/>
      <c r="V7" s="15"/>
      <c r="W7" s="15"/>
      <c r="X7" s="15"/>
      <c r="Y7" s="15"/>
      <c r="Z7" s="15"/>
      <c r="AA7" s="15"/>
      <c r="AB7" s="16"/>
    </row>
    <row r="8" spans="2:28">
      <c r="B8" s="14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2"/>
      <c r="S8" s="12"/>
      <c r="T8" s="12"/>
      <c r="U8" s="12"/>
      <c r="V8" s="12"/>
      <c r="W8" s="12"/>
      <c r="X8" s="12"/>
      <c r="Y8" s="12"/>
      <c r="Z8" s="12"/>
      <c r="AA8" s="12"/>
      <c r="AB8" s="13"/>
    </row>
    <row r="9" spans="2:28">
      <c r="B9" s="14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2"/>
      <c r="S9" s="12"/>
      <c r="T9" s="12"/>
      <c r="U9" s="12"/>
      <c r="V9" s="12"/>
      <c r="W9" s="12"/>
      <c r="X9" s="12"/>
      <c r="Y9" s="12"/>
      <c r="Z9" s="12"/>
      <c r="AA9" s="12"/>
      <c r="AB9" s="13"/>
    </row>
    <row r="10" spans="2:28">
      <c r="B10" s="7" t="s">
        <v>0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9"/>
      <c r="S10" s="9"/>
      <c r="T10" s="9"/>
      <c r="U10" s="9"/>
      <c r="V10" s="9"/>
      <c r="W10" s="9"/>
      <c r="X10" s="9"/>
      <c r="Y10" s="9"/>
      <c r="Z10" s="9"/>
      <c r="AA10" s="9"/>
      <c r="AB10" s="10"/>
    </row>
    <row r="11" spans="2:28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2"/>
      <c r="AB11" s="13"/>
    </row>
    <row r="12" spans="2:28">
      <c r="B12" s="11"/>
      <c r="C12" s="11" t="s">
        <v>1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2"/>
      <c r="AB12" s="13"/>
    </row>
    <row r="13" spans="2:28">
      <c r="B13" s="11"/>
      <c r="C13" s="17" t="s">
        <v>161</v>
      </c>
      <c r="D13" s="12"/>
      <c r="E13" s="12"/>
      <c r="F13" s="11"/>
      <c r="G13" s="11"/>
      <c r="H13" s="11"/>
      <c r="I13" s="11"/>
      <c r="J13" s="11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1"/>
      <c r="AA13" s="12"/>
      <c r="AB13" s="13"/>
    </row>
    <row r="14" spans="2:28">
      <c r="B14" s="11"/>
      <c r="C14" s="17"/>
      <c r="D14" s="12" t="s">
        <v>162</v>
      </c>
      <c r="E14" s="12"/>
      <c r="F14" s="11"/>
      <c r="G14" s="11"/>
      <c r="H14" s="11"/>
      <c r="I14" s="11"/>
      <c r="J14" s="11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1"/>
      <c r="AA14" s="12"/>
      <c r="AB14" s="13"/>
    </row>
    <row r="15" spans="2:28">
      <c r="B15" s="11"/>
      <c r="C15" s="17"/>
      <c r="D15" s="12"/>
      <c r="E15" s="12" t="s">
        <v>163</v>
      </c>
      <c r="F15" s="11"/>
      <c r="G15" s="11"/>
      <c r="H15" s="11"/>
      <c r="I15" s="11"/>
      <c r="J15" s="11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1"/>
      <c r="AA15" s="12"/>
      <c r="AB15" s="13"/>
    </row>
    <row r="16" spans="2:28">
      <c r="B16" s="11"/>
      <c r="C16" s="17"/>
      <c r="D16" s="12"/>
      <c r="E16" s="12" t="s">
        <v>164</v>
      </c>
      <c r="F16" s="11"/>
      <c r="G16" s="11"/>
      <c r="H16" s="11"/>
      <c r="I16" s="11"/>
      <c r="J16" s="11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1"/>
      <c r="AA16" s="12"/>
      <c r="AB16" s="13"/>
    </row>
    <row r="17" spans="2:28">
      <c r="B17" s="11"/>
      <c r="C17" s="17"/>
      <c r="D17" s="12" t="s">
        <v>165</v>
      </c>
      <c r="E17" s="12"/>
      <c r="F17" s="11"/>
      <c r="G17" s="11"/>
      <c r="H17" s="11"/>
      <c r="I17" s="11"/>
      <c r="J17" s="11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1"/>
      <c r="AA17" s="12"/>
      <c r="AB17" s="13"/>
    </row>
    <row r="18" spans="2:28">
      <c r="B18" s="11"/>
      <c r="C18" s="17"/>
      <c r="D18" s="12"/>
      <c r="E18" s="12" t="s">
        <v>166</v>
      </c>
      <c r="F18" s="11"/>
      <c r="G18" s="11"/>
      <c r="H18" s="11"/>
      <c r="I18" s="11"/>
      <c r="J18" s="11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1"/>
      <c r="AA18" s="12"/>
      <c r="AB18" s="13"/>
    </row>
    <row r="19" spans="2:28">
      <c r="B19" s="11"/>
      <c r="C19" s="12"/>
      <c r="D19" s="11"/>
      <c r="E19" s="12" t="s">
        <v>167</v>
      </c>
      <c r="F19" s="11"/>
      <c r="G19" s="11"/>
      <c r="H19" s="11"/>
      <c r="I19" s="11"/>
      <c r="J19" s="11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1"/>
      <c r="AA19" s="12"/>
      <c r="AB19" s="13"/>
    </row>
    <row r="20" spans="2:28">
      <c r="B20" s="11"/>
      <c r="C20" s="12"/>
      <c r="D20" s="18"/>
      <c r="E20" s="18"/>
      <c r="F20" s="18"/>
      <c r="G20" s="18"/>
      <c r="H20" s="18"/>
      <c r="I20" s="18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1"/>
      <c r="AA20" s="12"/>
      <c r="AB20" s="13"/>
    </row>
    <row r="21" spans="2:28">
      <c r="B21" s="11"/>
      <c r="C21" s="12"/>
      <c r="D21" s="12"/>
      <c r="E21" s="12"/>
      <c r="F21" s="12"/>
      <c r="G21" s="12"/>
      <c r="H21" s="11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1"/>
      <c r="AA21" s="12"/>
      <c r="AB21" s="13"/>
    </row>
    <row r="22" spans="2:28">
      <c r="B22" s="7" t="s">
        <v>2</v>
      </c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8"/>
      <c r="AA22" s="9"/>
      <c r="AB22" s="10"/>
    </row>
    <row r="23" spans="2:28"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1"/>
      <c r="AA23" s="12"/>
      <c r="AB23" s="13"/>
    </row>
    <row r="24" spans="2:28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2"/>
      <c r="AB24" s="13"/>
    </row>
    <row r="25" spans="2:28">
      <c r="B25" s="11"/>
      <c r="C25" s="155" t="s">
        <v>168</v>
      </c>
      <c r="D25" s="249" t="s">
        <v>3</v>
      </c>
      <c r="E25" s="250"/>
      <c r="F25" s="250"/>
      <c r="G25" s="250"/>
      <c r="H25" s="250"/>
      <c r="I25" s="250"/>
      <c r="J25" s="250"/>
      <c r="K25" s="250"/>
      <c r="L25" s="251"/>
      <c r="M25" s="175" t="s">
        <v>4</v>
      </c>
      <c r="N25" s="175"/>
      <c r="O25" s="176" t="s">
        <v>169</v>
      </c>
      <c r="P25" s="176"/>
      <c r="Q25" s="176"/>
      <c r="R25" s="249" t="s">
        <v>5</v>
      </c>
      <c r="S25" s="250"/>
      <c r="T25" s="250"/>
      <c r="U25" s="250"/>
      <c r="V25" s="250"/>
      <c r="W25" s="250"/>
      <c r="X25" s="250"/>
      <c r="Y25" s="250"/>
      <c r="Z25" s="250"/>
      <c r="AA25" s="251"/>
      <c r="AB25" s="13"/>
    </row>
    <row r="26" spans="2:28">
      <c r="B26" s="11"/>
      <c r="C26" s="19" t="s">
        <v>170</v>
      </c>
      <c r="D26" s="174" t="s">
        <v>171</v>
      </c>
      <c r="E26" s="174"/>
      <c r="F26" s="174"/>
      <c r="G26" s="174"/>
      <c r="H26" s="174"/>
      <c r="I26" s="174"/>
      <c r="J26" s="174"/>
      <c r="K26" s="174"/>
      <c r="L26" s="174"/>
      <c r="M26" s="252" t="s">
        <v>172</v>
      </c>
      <c r="N26" s="253"/>
      <c r="O26" s="254" t="str">
        <f>テストケース観点!A3</f>
        <v>純金積立_遷移確認</v>
      </c>
      <c r="P26" s="255"/>
      <c r="Q26" s="256"/>
      <c r="R26" s="257"/>
      <c r="S26" s="258"/>
      <c r="T26" s="258"/>
      <c r="U26" s="258"/>
      <c r="V26" s="258"/>
      <c r="W26" s="258"/>
      <c r="X26" s="258"/>
      <c r="Y26" s="258"/>
      <c r="Z26" s="258"/>
      <c r="AA26" s="259"/>
      <c r="AB26" s="13"/>
    </row>
    <row r="27" spans="2:28">
      <c r="B27" s="11"/>
      <c r="C27" s="19" t="s">
        <v>173</v>
      </c>
      <c r="D27" s="174" t="s">
        <v>174</v>
      </c>
      <c r="E27" s="174"/>
      <c r="F27" s="174"/>
      <c r="G27" s="174"/>
      <c r="H27" s="174"/>
      <c r="I27" s="174"/>
      <c r="J27" s="174"/>
      <c r="K27" s="174"/>
      <c r="L27" s="174"/>
      <c r="M27" s="252" t="s">
        <v>172</v>
      </c>
      <c r="N27" s="253"/>
      <c r="O27" s="254" t="str">
        <f>テストケース観点!A4</f>
        <v>純金積立_画面確認</v>
      </c>
      <c r="P27" s="255"/>
      <c r="Q27" s="256"/>
      <c r="R27" s="257"/>
      <c r="S27" s="258"/>
      <c r="T27" s="258"/>
      <c r="U27" s="258"/>
      <c r="V27" s="258"/>
      <c r="W27" s="258"/>
      <c r="X27" s="258"/>
      <c r="Y27" s="258"/>
      <c r="Z27" s="258"/>
      <c r="AA27" s="259"/>
      <c r="AB27" s="13"/>
    </row>
    <row r="28" spans="2:28">
      <c r="B28" s="11"/>
      <c r="C28" s="19" t="s">
        <v>175</v>
      </c>
      <c r="D28" s="174" t="s">
        <v>176</v>
      </c>
      <c r="E28" s="174"/>
      <c r="F28" s="174"/>
      <c r="G28" s="174"/>
      <c r="H28" s="174"/>
      <c r="I28" s="174"/>
      <c r="J28" s="174"/>
      <c r="K28" s="174"/>
      <c r="L28" s="174"/>
      <c r="M28" s="252" t="s">
        <v>172</v>
      </c>
      <c r="N28" s="253"/>
      <c r="O28" s="254" t="str">
        <f>テストケース観点!A5</f>
        <v>価格取得</v>
      </c>
      <c r="P28" s="255"/>
      <c r="Q28" s="256"/>
      <c r="R28" s="260"/>
      <c r="S28" s="261"/>
      <c r="T28" s="261"/>
      <c r="U28" s="261"/>
      <c r="V28" s="261"/>
      <c r="W28" s="261"/>
      <c r="X28" s="261"/>
      <c r="Y28" s="261"/>
      <c r="Z28" s="261"/>
      <c r="AA28" s="262"/>
      <c r="AB28" s="263"/>
    </row>
    <row r="29" spans="2:28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2"/>
      <c r="AB29" s="13"/>
    </row>
    <row r="30" spans="2:28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2"/>
      <c r="AB30" s="13"/>
    </row>
    <row r="31" spans="2:28">
      <c r="B31" s="7" t="s">
        <v>177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9"/>
      <c r="AB31" s="10"/>
    </row>
    <row r="33" spans="3:4">
      <c r="C33" s="1" t="s">
        <v>178</v>
      </c>
    </row>
    <row r="34" spans="3:4">
      <c r="D34" s="1" t="s">
        <v>179</v>
      </c>
    </row>
    <row r="35" spans="3:4">
      <c r="C35" s="1" t="s">
        <v>180</v>
      </c>
    </row>
    <row r="36" spans="3:4">
      <c r="D36" s="1" t="s">
        <v>181</v>
      </c>
    </row>
    <row r="37" spans="3:4">
      <c r="D37" s="1" t="s">
        <v>182</v>
      </c>
    </row>
  </sheetData>
  <mergeCells count="16">
    <mergeCell ref="D27:L27"/>
    <mergeCell ref="M27:N27"/>
    <mergeCell ref="O27:Q27"/>
    <mergeCell ref="R27:AA27"/>
    <mergeCell ref="D28:L28"/>
    <mergeCell ref="M28:N28"/>
    <mergeCell ref="O28:Q28"/>
    <mergeCell ref="R28:AA28"/>
    <mergeCell ref="D25:L25"/>
    <mergeCell ref="M25:N25"/>
    <mergeCell ref="O25:Q25"/>
    <mergeCell ref="R25:AA25"/>
    <mergeCell ref="D26:L26"/>
    <mergeCell ref="M26:N26"/>
    <mergeCell ref="O26:Q26"/>
    <mergeCell ref="R26:AA26"/>
  </mergeCells>
  <phoneticPr fontId="5"/>
  <pageMargins left="0.7" right="0.7" top="0.75" bottom="0.75" header="0.3" footer="0.3"/>
  <pageSetup paperSize="9" scale="95" orientation="landscape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1"/>
  <sheetViews>
    <sheetView view="pageBreakPreview" zoomScaleNormal="100" zoomScaleSheetLayoutView="100" workbookViewId="0">
      <selection activeCell="E23" sqref="E23"/>
    </sheetView>
  </sheetViews>
  <sheetFormatPr defaultRowHeight="11.25"/>
  <cols>
    <col min="1" max="1" width="21.5" style="1" customWidth="1"/>
    <col min="2" max="10" width="6.375" style="1" customWidth="1"/>
    <col min="11" max="16384" width="9" style="1"/>
  </cols>
  <sheetData>
    <row r="1" spans="1:10" ht="17.25" customHeight="1">
      <c r="A1" s="264"/>
      <c r="B1" s="178" t="s">
        <v>20</v>
      </c>
      <c r="C1" s="265"/>
      <c r="D1" s="265"/>
      <c r="E1" s="265"/>
      <c r="F1" s="179" t="s">
        <v>21</v>
      </c>
      <c r="G1" s="266"/>
      <c r="H1" s="266"/>
      <c r="I1" s="180"/>
      <c r="J1" s="267" t="s">
        <v>22</v>
      </c>
    </row>
    <row r="2" spans="1:10" ht="17.25" customHeight="1" thickBot="1">
      <c r="A2" s="177"/>
      <c r="B2" s="52" t="s">
        <v>23</v>
      </c>
      <c r="C2" s="53" t="s">
        <v>24</v>
      </c>
      <c r="D2" s="53" t="s">
        <v>25</v>
      </c>
      <c r="E2" s="53" t="s">
        <v>26</v>
      </c>
      <c r="F2" s="54" t="s">
        <v>27</v>
      </c>
      <c r="G2" s="156" t="s">
        <v>28</v>
      </c>
      <c r="H2" s="156" t="s">
        <v>29</v>
      </c>
      <c r="I2" s="55" t="s">
        <v>30</v>
      </c>
      <c r="J2" s="181"/>
    </row>
    <row r="3" spans="1:10" s="66" customFormat="1" ht="31.5" customHeight="1">
      <c r="A3" s="70" t="s">
        <v>298</v>
      </c>
      <c r="B3" s="61" t="str">
        <f ca="1">IF(ISERROR(COUNTIF(INDIRECT($A3&amp;"!$D$4:$D$200"),"正常系")),"",COUNTIF(INDIRECT($A3&amp;"!$D$4:$D$200"),"正常系"))</f>
        <v/>
      </c>
      <c r="C3" s="62" t="str">
        <f ca="1">IF(B3="","",COUNTIF(INDIRECT($A3&amp;"!$D$4:$D$200"),"異常系"))</f>
        <v/>
      </c>
      <c r="D3" s="62" t="str">
        <f ca="1">IF(B3="","",COUNTIF(INDIRECT($A3&amp;"!$B$4:$B$200"),"×"))</f>
        <v/>
      </c>
      <c r="E3" s="62" t="str">
        <f ca="1">IF(B3="","",(B3+C3)-D3)</f>
        <v/>
      </c>
      <c r="F3" s="63" t="str">
        <f ca="1">IF(B3="","",COUNTIF(INDIRECT($A3&amp;"!$E$4:$E$200"),"OK"))</f>
        <v/>
      </c>
      <c r="G3" s="62" t="str">
        <f ca="1">IF(B3="","",E3-F3)</f>
        <v/>
      </c>
      <c r="H3" s="62" t="str">
        <f ca="1">IF(B3="","",COUNTIF(INDIRECT($A3&amp;"!$E$4:$E$200"),"NG"))</f>
        <v/>
      </c>
      <c r="I3" s="64" t="str">
        <f ca="1">IF(B3="","",IF(B3=0,0,F3/B3))</f>
        <v/>
      </c>
      <c r="J3" s="65"/>
    </row>
    <row r="4" spans="1:10" s="66" customFormat="1" ht="31.5" customHeight="1">
      <c r="A4" s="71" t="s">
        <v>299</v>
      </c>
      <c r="B4" s="61" t="str">
        <f t="shared" ref="B4:B9" ca="1" si="0">IF(ISERROR(COUNTIF(INDIRECT($A4&amp;"!$D$4:$D$200"),"正常系")),"",COUNTIF(INDIRECT($A4&amp;"!$D$4:$D$200"),"正常系"))</f>
        <v/>
      </c>
      <c r="C4" s="67" t="str">
        <f t="shared" ref="C4:C9" ca="1" si="1">IF(B4="","",COUNTIF(INDIRECT($A4&amp;"!$D$4:$D$200"),"異常系"))</f>
        <v/>
      </c>
      <c r="D4" s="67" t="str">
        <f t="shared" ref="D4:D9" ca="1" si="2">IF(B4="","",COUNTIF(INDIRECT($A4&amp;"!$B$4:$B$200"),"×"))</f>
        <v/>
      </c>
      <c r="E4" s="67" t="str">
        <f t="shared" ref="E4:E9" ca="1" si="3">IF(B4="","",(B4+C4)-D4)</f>
        <v/>
      </c>
      <c r="F4" s="61" t="str">
        <f t="shared" ref="F4:F9" ca="1" si="4">IF(B4="","",COUNTIF(INDIRECT($A4&amp;"!$E$4:$E$200"),"OK"))</f>
        <v/>
      </c>
      <c r="G4" s="67" t="str">
        <f t="shared" ref="G4:G9" ca="1" si="5">IF(B4="","",E4-F4)</f>
        <v/>
      </c>
      <c r="H4" s="67" t="str">
        <f t="shared" ref="H4:H9" ca="1" si="6">IF(B4="","",COUNTIF(INDIRECT($A4&amp;"!$E$4:$E$200"),"NG"))</f>
        <v/>
      </c>
      <c r="I4" s="68" t="str">
        <f t="shared" ref="I4:I9" ca="1" si="7">IF(B4="","",IF(B4=0,0,F4/B4))</f>
        <v/>
      </c>
      <c r="J4" s="268"/>
    </row>
    <row r="5" spans="1:10" s="66" customFormat="1" ht="31.5" hidden="1" customHeight="1">
      <c r="A5" s="71" t="s">
        <v>300</v>
      </c>
      <c r="B5" s="61">
        <f t="shared" ca="1" si="0"/>
        <v>0</v>
      </c>
      <c r="C5" s="67">
        <f t="shared" ca="1" si="1"/>
        <v>0</v>
      </c>
      <c r="D5" s="67">
        <f t="shared" ca="1" si="2"/>
        <v>0</v>
      </c>
      <c r="E5" s="67">
        <f t="shared" ca="1" si="3"/>
        <v>0</v>
      </c>
      <c r="F5" s="61">
        <f t="shared" ca="1" si="4"/>
        <v>0</v>
      </c>
      <c r="G5" s="67">
        <f t="shared" ca="1" si="5"/>
        <v>0</v>
      </c>
      <c r="H5" s="67">
        <f t="shared" ca="1" si="6"/>
        <v>0</v>
      </c>
      <c r="I5" s="68">
        <f t="shared" ca="1" si="7"/>
        <v>0</v>
      </c>
      <c r="J5" s="69"/>
    </row>
    <row r="6" spans="1:10" s="66" customFormat="1" ht="31.5" hidden="1" customHeight="1">
      <c r="A6" s="71" t="s">
        <v>301</v>
      </c>
      <c r="B6" s="61">
        <f t="shared" ca="1" si="0"/>
        <v>0</v>
      </c>
      <c r="C6" s="67">
        <f t="shared" ca="1" si="1"/>
        <v>0</v>
      </c>
      <c r="D6" s="67">
        <f t="shared" ca="1" si="2"/>
        <v>0</v>
      </c>
      <c r="E6" s="67">
        <f t="shared" ca="1" si="3"/>
        <v>0</v>
      </c>
      <c r="F6" s="61">
        <f t="shared" ca="1" si="4"/>
        <v>0</v>
      </c>
      <c r="G6" s="67">
        <f t="shared" ca="1" si="5"/>
        <v>0</v>
      </c>
      <c r="H6" s="67">
        <f t="shared" ca="1" si="6"/>
        <v>0</v>
      </c>
      <c r="I6" s="68">
        <f t="shared" ca="1" si="7"/>
        <v>0</v>
      </c>
      <c r="J6" s="69"/>
    </row>
    <row r="7" spans="1:10" s="66" customFormat="1" ht="31.5" customHeight="1">
      <c r="A7" s="71" t="s">
        <v>302</v>
      </c>
      <c r="B7" s="61"/>
      <c r="C7" s="67"/>
      <c r="D7" s="67"/>
      <c r="E7" s="67"/>
      <c r="F7" s="61"/>
      <c r="G7" s="67"/>
      <c r="H7" s="67"/>
      <c r="I7" s="68"/>
      <c r="J7" s="69"/>
    </row>
    <row r="8" spans="1:10" s="66" customFormat="1" ht="31.5" customHeight="1">
      <c r="A8" s="71" t="s">
        <v>303</v>
      </c>
      <c r="B8" s="61"/>
      <c r="C8" s="67"/>
      <c r="D8" s="67"/>
      <c r="E8" s="67"/>
      <c r="F8" s="61"/>
      <c r="G8" s="67"/>
      <c r="H8" s="67"/>
      <c r="I8" s="68"/>
      <c r="J8" s="69"/>
    </row>
    <row r="9" spans="1:10" s="66" customFormat="1" ht="31.5" customHeight="1">
      <c r="A9" s="269"/>
      <c r="B9" s="61" t="str">
        <f t="shared" ca="1" si="0"/>
        <v/>
      </c>
      <c r="C9" s="67" t="str">
        <f t="shared" ca="1" si="1"/>
        <v/>
      </c>
      <c r="D9" s="67" t="str">
        <f t="shared" ca="1" si="2"/>
        <v/>
      </c>
      <c r="E9" s="67" t="str">
        <f t="shared" ca="1" si="3"/>
        <v/>
      </c>
      <c r="F9" s="61" t="str">
        <f t="shared" ca="1" si="4"/>
        <v/>
      </c>
      <c r="G9" s="67" t="str">
        <f t="shared" ca="1" si="5"/>
        <v/>
      </c>
      <c r="H9" s="67" t="str">
        <f t="shared" ca="1" si="6"/>
        <v/>
      </c>
      <c r="I9" s="68" t="str">
        <f t="shared" ca="1" si="7"/>
        <v/>
      </c>
      <c r="J9" s="69"/>
    </row>
    <row r="10" spans="1:10" ht="21" customHeight="1">
      <c r="A10" s="270" t="s">
        <v>31</v>
      </c>
      <c r="B10" s="56">
        <f ca="1">SUM(B$3:B9)</f>
        <v>0</v>
      </c>
      <c r="C10" s="57">
        <f ca="1">SUM(C$3:C9)</f>
        <v>0</v>
      </c>
      <c r="D10" s="57">
        <f ca="1">SUM(D$3:D9)</f>
        <v>0</v>
      </c>
      <c r="E10" s="58">
        <f ca="1">SUM(E$3:E9)</f>
        <v>0</v>
      </c>
      <c r="F10" s="56">
        <f ca="1">SUM(F$3:F9)</f>
        <v>0</v>
      </c>
      <c r="G10" s="57">
        <f ca="1">SUM(G$3:G9)</f>
        <v>0</v>
      </c>
      <c r="H10" s="57">
        <f ca="1">SUM(H$3:H9)</f>
        <v>0</v>
      </c>
      <c r="I10" s="59">
        <f ca="1">IF(B10=0,0,F10/B10)</f>
        <v>0</v>
      </c>
      <c r="J10" s="271"/>
    </row>
    <row r="11" spans="1:10">
      <c r="A11" s="60"/>
      <c r="B11" s="60"/>
      <c r="C11" s="60"/>
      <c r="D11" s="60"/>
      <c r="E11" s="60"/>
      <c r="F11" s="60"/>
      <c r="G11" s="60"/>
      <c r="H11" s="60"/>
      <c r="I11" s="60"/>
      <c r="J11" s="60"/>
    </row>
  </sheetData>
  <mergeCells count="4">
    <mergeCell ref="A1:A2"/>
    <mergeCell ref="B1:E1"/>
    <mergeCell ref="F1:I1"/>
    <mergeCell ref="J1:J2"/>
  </mergeCells>
  <phoneticPr fontId="5"/>
  <hyperlinks>
    <hyperlink ref="A3" location="'純金積立_遷移確認'!A1" display="純金積立_遷移確認"/>
    <hyperlink ref="A4" location="'純金積立_画面確認'!A1" display="純金積立_画面確認"/>
    <hyperlink ref="A5" location="'価格取得'!A1" display="価格取得"/>
    <hyperlink ref="A6" location="'価格取得_Data'!A1" display="価格取得_Data"/>
    <hyperlink ref="A7" location="'資産状況純金積立'!A1" display="資産状況純金積立"/>
    <hyperlink ref="A8" location="'資産状況純金積立_Data'!A1" display="資産状況純金積立_Data"/>
  </hyperlinks>
  <pageMargins left="0.7" right="0.7" top="0.75" bottom="0.75" header="0.3" footer="0.3"/>
  <pageSetup paperSize="9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List_Click">
                <anchor moveWithCells="1" sizeWithCells="1">
                  <from>
                    <xdr:col>0</xdr:col>
                    <xdr:colOff>238125</xdr:colOff>
                    <xdr:row>0</xdr:row>
                    <xdr:rowOff>161925</xdr:rowOff>
                  </from>
                  <to>
                    <xdr:col>0</xdr:col>
                    <xdr:colOff>847725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O30"/>
  <sheetViews>
    <sheetView view="pageBreakPreview" zoomScale="85" zoomScaleNormal="100" zoomScaleSheetLayoutView="85" workbookViewId="0">
      <selection activeCell="M28" sqref="M28:M29"/>
    </sheetView>
  </sheetViews>
  <sheetFormatPr defaultRowHeight="13.5" outlineLevelCol="1"/>
  <cols>
    <col min="1" max="4" width="6.375" style="279" customWidth="1"/>
    <col min="5" max="8" width="6.375" style="279" hidden="1" customWidth="1" outlineLevel="1"/>
    <col min="9" max="9" width="13.875" style="279" hidden="1" customWidth="1" outlineLevel="1"/>
    <col min="10" max="12" width="6.375" style="279" hidden="1" customWidth="1" outlineLevel="1"/>
    <col min="13" max="13" width="74.625" style="308" customWidth="1" collapsed="1"/>
    <col min="14" max="14" width="51.375" style="309" customWidth="1"/>
    <col min="15" max="15" width="2.625" style="310" customWidth="1"/>
    <col min="16" max="197" width="2.625" style="279" customWidth="1"/>
    <col min="198" max="16384" width="9" style="279"/>
  </cols>
  <sheetData>
    <row r="1" spans="1:15" ht="24" customHeight="1">
      <c r="A1" s="272"/>
      <c r="B1" s="272"/>
      <c r="C1" s="272"/>
      <c r="D1" s="272"/>
      <c r="E1" s="273" t="s">
        <v>35</v>
      </c>
      <c r="F1" s="274"/>
      <c r="G1" s="274"/>
      <c r="H1" s="274"/>
      <c r="I1" s="274"/>
      <c r="J1" s="274"/>
      <c r="K1" s="274"/>
      <c r="L1" s="275"/>
      <c r="M1" s="276" t="s">
        <v>183</v>
      </c>
      <c r="N1" s="277" t="s">
        <v>46</v>
      </c>
      <c r="O1" s="278"/>
    </row>
    <row r="2" spans="1:15" ht="27" customHeight="1">
      <c r="A2" s="280"/>
      <c r="B2" s="280"/>
      <c r="C2" s="280"/>
      <c r="D2" s="281" t="s">
        <v>184</v>
      </c>
      <c r="E2" s="282" t="s">
        <v>68</v>
      </c>
      <c r="F2" s="283"/>
      <c r="G2" s="284" t="s">
        <v>36</v>
      </c>
      <c r="H2" s="283"/>
      <c r="I2" s="285"/>
      <c r="J2" s="285"/>
      <c r="K2" s="285"/>
      <c r="L2" s="285"/>
      <c r="M2" s="276"/>
      <c r="N2" s="286"/>
      <c r="O2" s="287"/>
    </row>
    <row r="3" spans="1:15" ht="13.5" customHeight="1">
      <c r="A3" s="280"/>
      <c r="B3" s="280"/>
      <c r="C3" s="280"/>
      <c r="D3" s="281"/>
      <c r="E3" s="288" t="s">
        <v>40</v>
      </c>
      <c r="F3" s="289" t="s">
        <v>41</v>
      </c>
      <c r="G3" s="289" t="s">
        <v>185</v>
      </c>
      <c r="H3" s="289" t="s">
        <v>185</v>
      </c>
      <c r="I3" s="290"/>
      <c r="J3" s="290"/>
      <c r="K3" s="290"/>
      <c r="L3" s="290"/>
      <c r="M3" s="276"/>
      <c r="N3" s="286"/>
      <c r="O3" s="287"/>
    </row>
    <row r="4" spans="1:15">
      <c r="A4" s="280"/>
      <c r="B4" s="280"/>
      <c r="C4" s="280"/>
      <c r="D4" s="281"/>
      <c r="E4" s="291"/>
      <c r="F4" s="292"/>
      <c r="G4" s="292"/>
      <c r="H4" s="292"/>
      <c r="I4" s="290"/>
      <c r="J4" s="290"/>
      <c r="K4" s="290"/>
      <c r="L4" s="290"/>
      <c r="M4" s="276"/>
      <c r="N4" s="286"/>
      <c r="O4" s="287"/>
    </row>
    <row r="5" spans="1:15">
      <c r="A5" s="280"/>
      <c r="B5" s="280"/>
      <c r="C5" s="280"/>
      <c r="D5" s="281"/>
      <c r="E5" s="291"/>
      <c r="F5" s="292"/>
      <c r="G5" s="292"/>
      <c r="H5" s="292"/>
      <c r="I5" s="290"/>
      <c r="J5" s="290"/>
      <c r="K5" s="290"/>
      <c r="L5" s="290"/>
      <c r="M5" s="276"/>
      <c r="N5" s="286"/>
      <c r="O5" s="287"/>
    </row>
    <row r="6" spans="1:15">
      <c r="A6" s="280"/>
      <c r="B6" s="280"/>
      <c r="C6" s="280"/>
      <c r="D6" s="281"/>
      <c r="E6" s="291"/>
      <c r="F6" s="292"/>
      <c r="G6" s="292"/>
      <c r="H6" s="292"/>
      <c r="I6" s="290"/>
      <c r="J6" s="290"/>
      <c r="K6" s="290"/>
      <c r="L6" s="290"/>
      <c r="M6" s="276"/>
      <c r="N6" s="286"/>
      <c r="O6" s="287"/>
    </row>
    <row r="7" spans="1:15">
      <c r="A7" s="280"/>
      <c r="B7" s="280"/>
      <c r="C7" s="280"/>
      <c r="D7" s="281"/>
      <c r="E7" s="291"/>
      <c r="F7" s="292"/>
      <c r="G7" s="292"/>
      <c r="H7" s="292"/>
      <c r="I7" s="290"/>
      <c r="J7" s="290"/>
      <c r="K7" s="290"/>
      <c r="L7" s="290"/>
      <c r="M7" s="276"/>
      <c r="N7" s="286"/>
      <c r="O7" s="287"/>
    </row>
    <row r="8" spans="1:15">
      <c r="A8" s="280"/>
      <c r="B8" s="280"/>
      <c r="C8" s="280"/>
      <c r="D8" s="281"/>
      <c r="E8" s="291"/>
      <c r="F8" s="292"/>
      <c r="G8" s="292"/>
      <c r="H8" s="292"/>
      <c r="I8" s="290"/>
      <c r="J8" s="290"/>
      <c r="K8" s="290"/>
      <c r="L8" s="290"/>
      <c r="M8" s="276"/>
      <c r="N8" s="286"/>
      <c r="O8" s="287"/>
    </row>
    <row r="9" spans="1:15">
      <c r="A9" s="293" t="s">
        <v>186</v>
      </c>
      <c r="B9" s="293" t="s">
        <v>37</v>
      </c>
      <c r="C9" s="293" t="s">
        <v>38</v>
      </c>
      <c r="D9" s="293" t="s">
        <v>39</v>
      </c>
      <c r="E9" s="294"/>
      <c r="F9" s="295"/>
      <c r="G9" s="295"/>
      <c r="H9" s="295"/>
      <c r="I9" s="296" t="s">
        <v>42</v>
      </c>
      <c r="J9" s="296" t="s">
        <v>43</v>
      </c>
      <c r="K9" s="296" t="s">
        <v>44</v>
      </c>
      <c r="L9" s="296" t="s">
        <v>45</v>
      </c>
      <c r="M9" s="297"/>
      <c r="N9" s="298"/>
      <c r="O9" s="299"/>
    </row>
    <row r="10" spans="1:15" ht="13.5" customHeight="1">
      <c r="A10" s="300">
        <f t="shared" ref="A10:A12" si="0">ROW()-9</f>
        <v>1</v>
      </c>
      <c r="B10" s="301" t="s">
        <v>32</v>
      </c>
      <c r="C10" s="301" t="s">
        <v>33</v>
      </c>
      <c r="D10" s="301" t="s">
        <v>34</v>
      </c>
      <c r="E10" s="302" t="s">
        <v>262</v>
      </c>
      <c r="F10" s="301"/>
      <c r="G10" s="301"/>
      <c r="H10" s="301"/>
      <c r="I10" s="303">
        <v>43747</v>
      </c>
      <c r="J10" s="304" t="s">
        <v>263</v>
      </c>
      <c r="K10" s="303"/>
      <c r="L10" s="304"/>
      <c r="M10" s="305" t="s">
        <v>187</v>
      </c>
      <c r="N10" s="306" t="s">
        <v>188</v>
      </c>
      <c r="O10" s="307"/>
    </row>
    <row r="11" spans="1:15" ht="13.5" customHeight="1">
      <c r="A11" s="300">
        <f t="shared" si="0"/>
        <v>2</v>
      </c>
      <c r="B11" s="301" t="s">
        <v>200</v>
      </c>
      <c r="C11" s="301" t="s">
        <v>33</v>
      </c>
      <c r="D11" s="301" t="s">
        <v>34</v>
      </c>
      <c r="E11" s="302"/>
      <c r="F11" s="301"/>
      <c r="G11" s="301"/>
      <c r="H11" s="301"/>
      <c r="I11" s="303"/>
      <c r="J11" s="304"/>
      <c r="K11" s="303"/>
      <c r="L11" s="304"/>
      <c r="M11" s="305" t="s">
        <v>189</v>
      </c>
      <c r="N11" s="306" t="s">
        <v>188</v>
      </c>
      <c r="O11" s="307"/>
    </row>
    <row r="12" spans="1:15" ht="13.5" customHeight="1">
      <c r="A12" s="300">
        <f t="shared" si="0"/>
        <v>3</v>
      </c>
      <c r="B12" s="301" t="s">
        <v>32</v>
      </c>
      <c r="C12" s="301" t="s">
        <v>33</v>
      </c>
      <c r="D12" s="301" t="s">
        <v>34</v>
      </c>
      <c r="E12" s="302" t="s">
        <v>262</v>
      </c>
      <c r="F12" s="301"/>
      <c r="G12" s="301"/>
      <c r="H12" s="301"/>
      <c r="I12" s="303">
        <v>43747</v>
      </c>
      <c r="J12" s="304" t="s">
        <v>263</v>
      </c>
      <c r="K12" s="303"/>
      <c r="L12" s="304"/>
      <c r="M12" s="305" t="s">
        <v>190</v>
      </c>
      <c r="N12" s="306" t="s">
        <v>188</v>
      </c>
      <c r="O12" s="307"/>
    </row>
    <row r="18" spans="13:14" ht="16.5" customHeight="1"/>
    <row r="23" spans="13:14">
      <c r="M23" s="279"/>
      <c r="N23" s="279"/>
    </row>
    <row r="24" spans="13:14">
      <c r="M24" s="279"/>
      <c r="N24" s="279"/>
    </row>
    <row r="25" spans="13:14">
      <c r="M25" s="279"/>
      <c r="N25" s="279"/>
    </row>
    <row r="26" spans="13:14">
      <c r="M26" s="279"/>
      <c r="N26" s="279"/>
    </row>
    <row r="27" spans="13:14">
      <c r="M27" s="279"/>
      <c r="N27" s="279"/>
    </row>
    <row r="28" spans="13:14">
      <c r="M28" s="279"/>
      <c r="N28" s="279"/>
    </row>
    <row r="29" spans="13:14">
      <c r="M29" s="279"/>
      <c r="N29" s="279"/>
    </row>
    <row r="30" spans="13:14">
      <c r="M30" s="279"/>
      <c r="N30" s="279"/>
    </row>
  </sheetData>
  <mergeCells count="9">
    <mergeCell ref="E1:L1"/>
    <mergeCell ref="M1:M9"/>
    <mergeCell ref="N1:O9"/>
    <mergeCell ref="E2:F2"/>
    <mergeCell ref="G2:H2"/>
    <mergeCell ref="E3:E9"/>
    <mergeCell ref="F3:F9"/>
    <mergeCell ref="G3:G9"/>
    <mergeCell ref="H3:H9"/>
  </mergeCells>
  <phoneticPr fontId="5"/>
  <conditionalFormatting sqref="A10 C10:M10">
    <cfRule type="expression" dxfId="336" priority="18" stopIfTrue="1">
      <formula>$B10="×"</formula>
    </cfRule>
  </conditionalFormatting>
  <conditionalFormatting sqref="G10:H10">
    <cfRule type="cellIs" dxfId="335" priority="17" stopIfTrue="1" operator="equal">
      <formula>"異"</formula>
    </cfRule>
  </conditionalFormatting>
  <conditionalFormatting sqref="D10">
    <cfRule type="cellIs" dxfId="334" priority="16" stopIfTrue="1" operator="equal">
      <formula>"異常系"</formula>
    </cfRule>
  </conditionalFormatting>
  <conditionalFormatting sqref="E10">
    <cfRule type="cellIs" dxfId="333" priority="15" stopIfTrue="1" operator="equal">
      <formula>"NG"</formula>
    </cfRule>
  </conditionalFormatting>
  <conditionalFormatting sqref="A11:L11">
    <cfRule type="expression" dxfId="332" priority="14" stopIfTrue="1">
      <formula>$B11="×"</formula>
    </cfRule>
  </conditionalFormatting>
  <conditionalFormatting sqref="G11:H11">
    <cfRule type="cellIs" dxfId="331" priority="13" stopIfTrue="1" operator="equal">
      <formula>"異"</formula>
    </cfRule>
  </conditionalFormatting>
  <conditionalFormatting sqref="D11">
    <cfRule type="cellIs" dxfId="330" priority="12" stopIfTrue="1" operator="equal">
      <formula>"異常系"</formula>
    </cfRule>
  </conditionalFormatting>
  <conditionalFormatting sqref="E11">
    <cfRule type="cellIs" dxfId="329" priority="11" stopIfTrue="1" operator="equal">
      <formula>"NG"</formula>
    </cfRule>
  </conditionalFormatting>
  <conditionalFormatting sqref="B10">
    <cfRule type="expression" dxfId="328" priority="10" stopIfTrue="1">
      <formula>$B10="×"</formula>
    </cfRule>
  </conditionalFormatting>
  <conditionalFormatting sqref="M11">
    <cfRule type="expression" dxfId="327" priority="9" stopIfTrue="1">
      <formula>$B11="×"</formula>
    </cfRule>
  </conditionalFormatting>
  <conditionalFormatting sqref="A12:D12 F12:H12 K12:L12">
    <cfRule type="expression" dxfId="326" priority="8" stopIfTrue="1">
      <formula>$B12="×"</formula>
    </cfRule>
  </conditionalFormatting>
  <conditionalFormatting sqref="G12:H12">
    <cfRule type="cellIs" dxfId="325" priority="7" stopIfTrue="1" operator="equal">
      <formula>"異"</formula>
    </cfRule>
  </conditionalFormatting>
  <conditionalFormatting sqref="D12">
    <cfRule type="cellIs" dxfId="324" priority="6" stopIfTrue="1" operator="equal">
      <formula>"異常系"</formula>
    </cfRule>
  </conditionalFormatting>
  <conditionalFormatting sqref="E12">
    <cfRule type="cellIs" dxfId="323" priority="2" stopIfTrue="1" operator="equal">
      <formula>"NG"</formula>
    </cfRule>
  </conditionalFormatting>
  <conditionalFormatting sqref="M12">
    <cfRule type="expression" dxfId="322" priority="4" stopIfTrue="1">
      <formula>$B12="×"</formula>
    </cfRule>
  </conditionalFormatting>
  <conditionalFormatting sqref="E12">
    <cfRule type="expression" dxfId="321" priority="3" stopIfTrue="1">
      <formula>$B12="×"</formula>
    </cfRule>
  </conditionalFormatting>
  <conditionalFormatting sqref="I12:J12">
    <cfRule type="expression" dxfId="320" priority="1" stopIfTrue="1">
      <formula>$B12="×"</formula>
    </cfRule>
  </conditionalFormatting>
  <dataValidations count="5">
    <dataValidation type="list" allowBlank="1" showInputMessage="1" showErrorMessage="1" sqref="B10:B12">
      <formula1>"○,×"</formula1>
    </dataValidation>
    <dataValidation type="list" allowBlank="1" showInputMessage="1" showErrorMessage="1" sqref="C10:C12">
      <formula1>"修正,デグレ"</formula1>
    </dataValidation>
    <dataValidation type="list" allowBlank="1" showInputMessage="1" showErrorMessage="1" sqref="D10:D12">
      <formula1>"正常系,異常系"</formula1>
    </dataValidation>
    <dataValidation type="list" allowBlank="1" showInputMessage="1" showErrorMessage="1" sqref="E10:E12">
      <formula1>"OK,NG"</formula1>
    </dataValidation>
    <dataValidation type="list" allowBlank="1" showInputMessage="1" showErrorMessage="1" sqref="G10:H12">
      <formula1>"－,同,異"</formula1>
    </dataValidation>
  </dataValidations>
  <pageMargins left="0.7" right="0.7" top="0.75" bottom="0.75" header="0.3" footer="0.3"/>
  <pageSetup paperSize="9" scale="66" orientation="landscape" verticalDpi="300" r:id="rId1"/>
  <colBreaks count="1" manualBreakCount="1">
    <brk id="15" max="36" man="1"/>
  </col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Y35"/>
  <sheetViews>
    <sheetView view="pageBreakPreview" zoomScale="85" zoomScaleNormal="100" zoomScaleSheetLayoutView="85" workbookViewId="0">
      <selection activeCell="U31" sqref="U31:W31"/>
    </sheetView>
  </sheetViews>
  <sheetFormatPr defaultRowHeight="13.5" outlineLevelCol="1"/>
  <cols>
    <col min="1" max="5" width="6.375" style="279" customWidth="1"/>
    <col min="6" max="8" width="6.375" style="279" hidden="1" customWidth="1" outlineLevel="1"/>
    <col min="9" max="10" width="10.375" style="279" hidden="1" customWidth="1" outlineLevel="1"/>
    <col min="11" max="12" width="6.375" style="279" hidden="1" customWidth="1" outlineLevel="1"/>
    <col min="13" max="13" width="7.625" style="308" customWidth="1" collapsed="1"/>
    <col min="14" max="14" width="6.875" style="308" customWidth="1"/>
    <col min="15" max="15" width="13" style="308" customWidth="1"/>
    <col min="16" max="16" width="10.625" style="308" customWidth="1"/>
    <col min="17" max="26" width="2.625" style="309" customWidth="1"/>
    <col min="27" max="51" width="2.625" style="310" customWidth="1"/>
    <col min="52" max="234" width="2.625" style="279" customWidth="1"/>
    <col min="235" max="16384" width="9" style="279"/>
  </cols>
  <sheetData>
    <row r="1" spans="1:51">
      <c r="A1" s="272"/>
      <c r="B1" s="272"/>
      <c r="C1" s="272"/>
      <c r="D1" s="272"/>
      <c r="E1" s="311" t="s">
        <v>35</v>
      </c>
      <c r="F1" s="312"/>
      <c r="G1" s="312"/>
      <c r="H1" s="312"/>
      <c r="I1" s="312"/>
      <c r="J1" s="312"/>
      <c r="K1" s="312"/>
      <c r="L1" s="313"/>
      <c r="M1" s="276" t="s">
        <v>183</v>
      </c>
      <c r="N1" s="314"/>
      <c r="O1" s="314"/>
      <c r="P1" s="315"/>
      <c r="Q1" s="277" t="s">
        <v>46</v>
      </c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316"/>
      <c r="AM1" s="316"/>
      <c r="AN1" s="316"/>
      <c r="AO1" s="316"/>
      <c r="AP1" s="316"/>
      <c r="AQ1" s="316"/>
      <c r="AR1" s="316"/>
      <c r="AS1" s="316"/>
      <c r="AT1" s="316"/>
      <c r="AU1" s="316"/>
      <c r="AV1" s="316"/>
      <c r="AW1" s="316"/>
      <c r="AX1" s="316"/>
      <c r="AY1" s="316"/>
    </row>
    <row r="2" spans="1:51">
      <c r="A2" s="280"/>
      <c r="B2" s="280"/>
      <c r="C2" s="280"/>
      <c r="D2" s="280"/>
      <c r="E2" s="317"/>
      <c r="F2" s="318"/>
      <c r="G2" s="318"/>
      <c r="H2" s="318"/>
      <c r="I2" s="318"/>
      <c r="J2" s="318"/>
      <c r="K2" s="318"/>
      <c r="L2" s="319"/>
      <c r="M2" s="276"/>
      <c r="N2" s="314"/>
      <c r="O2" s="314"/>
      <c r="P2" s="315"/>
      <c r="Q2" s="320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321"/>
      <c r="AC2" s="321"/>
      <c r="AD2" s="321"/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  <c r="AR2" s="321"/>
      <c r="AS2" s="321"/>
      <c r="AT2" s="321"/>
      <c r="AU2" s="321"/>
      <c r="AV2" s="321"/>
      <c r="AW2" s="321"/>
      <c r="AX2" s="321"/>
      <c r="AY2" s="321"/>
    </row>
    <row r="3" spans="1:51" ht="27" customHeight="1">
      <c r="A3" s="280"/>
      <c r="B3" s="280"/>
      <c r="C3" s="280"/>
      <c r="D3" s="281" t="s">
        <v>191</v>
      </c>
      <c r="E3" s="282" t="s">
        <v>192</v>
      </c>
      <c r="F3" s="283"/>
      <c r="G3" s="284" t="s">
        <v>36</v>
      </c>
      <c r="H3" s="283"/>
      <c r="I3" s="285"/>
      <c r="J3" s="285"/>
      <c r="K3" s="285"/>
      <c r="L3" s="285"/>
      <c r="M3" s="276"/>
      <c r="N3" s="314"/>
      <c r="O3" s="314"/>
      <c r="P3" s="315"/>
      <c r="Q3" s="322" t="s">
        <v>193</v>
      </c>
      <c r="R3" s="323"/>
      <c r="S3" s="323"/>
      <c r="T3" s="323"/>
      <c r="U3" s="323"/>
      <c r="V3" s="323"/>
      <c r="W3" s="323"/>
      <c r="X3" s="323"/>
      <c r="Y3" s="323"/>
      <c r="Z3" s="323"/>
      <c r="AA3" s="324"/>
      <c r="AB3" s="325" t="s">
        <v>194</v>
      </c>
      <c r="AC3" s="326"/>
      <c r="AD3" s="326"/>
      <c r="AE3" s="327"/>
      <c r="AF3" s="325" t="s">
        <v>195</v>
      </c>
      <c r="AG3" s="326"/>
      <c r="AH3" s="326"/>
      <c r="AI3" s="327"/>
      <c r="AJ3" s="325" t="s">
        <v>196</v>
      </c>
      <c r="AK3" s="326"/>
      <c r="AL3" s="326"/>
      <c r="AM3" s="326"/>
      <c r="AN3" s="326"/>
      <c r="AO3" s="326"/>
      <c r="AP3" s="326"/>
      <c r="AQ3" s="326"/>
      <c r="AR3" s="326"/>
      <c r="AS3" s="326"/>
      <c r="AT3" s="326"/>
      <c r="AU3" s="326"/>
      <c r="AV3" s="326"/>
      <c r="AW3" s="326"/>
      <c r="AX3" s="326"/>
      <c r="AY3" s="327"/>
    </row>
    <row r="4" spans="1:51" ht="13.5" customHeight="1">
      <c r="A4" s="280"/>
      <c r="B4" s="280"/>
      <c r="C4" s="280"/>
      <c r="D4" s="281"/>
      <c r="E4" s="288" t="s">
        <v>40</v>
      </c>
      <c r="F4" s="289" t="s">
        <v>41</v>
      </c>
      <c r="G4" s="289" t="s">
        <v>185</v>
      </c>
      <c r="H4" s="289" t="s">
        <v>185</v>
      </c>
      <c r="I4" s="290"/>
      <c r="J4" s="290"/>
      <c r="K4" s="290"/>
      <c r="L4" s="290"/>
      <c r="M4" s="276"/>
      <c r="N4" s="314"/>
      <c r="O4" s="314"/>
      <c r="P4" s="315"/>
      <c r="Q4" s="328" t="s">
        <v>197</v>
      </c>
      <c r="R4" s="329"/>
      <c r="S4" s="329"/>
      <c r="T4" s="330"/>
      <c r="U4" s="331">
        <v>0</v>
      </c>
      <c r="V4" s="329"/>
      <c r="W4" s="330"/>
      <c r="X4" s="332" t="s">
        <v>198</v>
      </c>
      <c r="Y4" s="332"/>
      <c r="Z4" s="332"/>
      <c r="AA4" s="333"/>
      <c r="AB4" s="334"/>
      <c r="AC4" s="335"/>
      <c r="AD4" s="335"/>
      <c r="AE4" s="336"/>
      <c r="AF4" s="334"/>
      <c r="AG4" s="335"/>
      <c r="AH4" s="335"/>
      <c r="AI4" s="336"/>
      <c r="AJ4" s="334"/>
      <c r="AK4" s="335"/>
      <c r="AL4" s="335"/>
      <c r="AM4" s="335"/>
      <c r="AN4" s="335"/>
      <c r="AO4" s="335"/>
      <c r="AP4" s="335"/>
      <c r="AQ4" s="335"/>
      <c r="AR4" s="335"/>
      <c r="AS4" s="335"/>
      <c r="AT4" s="335"/>
      <c r="AU4" s="335"/>
      <c r="AV4" s="335"/>
      <c r="AW4" s="335"/>
      <c r="AX4" s="335"/>
      <c r="AY4" s="336"/>
    </row>
    <row r="5" spans="1:51">
      <c r="A5" s="280"/>
      <c r="B5" s="280"/>
      <c r="C5" s="280"/>
      <c r="D5" s="281"/>
      <c r="E5" s="291"/>
      <c r="F5" s="292"/>
      <c r="G5" s="292"/>
      <c r="H5" s="292"/>
      <c r="I5" s="290"/>
      <c r="J5" s="290"/>
      <c r="K5" s="290"/>
      <c r="L5" s="290"/>
      <c r="M5" s="276"/>
      <c r="N5" s="314"/>
      <c r="O5" s="314"/>
      <c r="P5" s="315"/>
      <c r="Q5" s="286"/>
      <c r="R5" s="332"/>
      <c r="S5" s="332"/>
      <c r="T5" s="333"/>
      <c r="U5" s="337"/>
      <c r="V5" s="332"/>
      <c r="W5" s="333"/>
      <c r="X5" s="332"/>
      <c r="Y5" s="332"/>
      <c r="Z5" s="332"/>
      <c r="AA5" s="333"/>
      <c r="AB5" s="334"/>
      <c r="AC5" s="335"/>
      <c r="AD5" s="335"/>
      <c r="AE5" s="336"/>
      <c r="AF5" s="334"/>
      <c r="AG5" s="335"/>
      <c r="AH5" s="335"/>
      <c r="AI5" s="336"/>
      <c r="AJ5" s="334"/>
      <c r="AK5" s="335"/>
      <c r="AL5" s="335"/>
      <c r="AM5" s="335"/>
      <c r="AN5" s="335"/>
      <c r="AO5" s="335"/>
      <c r="AP5" s="335"/>
      <c r="AQ5" s="335"/>
      <c r="AR5" s="335"/>
      <c r="AS5" s="335"/>
      <c r="AT5" s="335"/>
      <c r="AU5" s="335"/>
      <c r="AV5" s="335"/>
      <c r="AW5" s="335"/>
      <c r="AX5" s="335"/>
      <c r="AY5" s="336"/>
    </row>
    <row r="6" spans="1:51">
      <c r="A6" s="280"/>
      <c r="B6" s="280"/>
      <c r="C6" s="280"/>
      <c r="D6" s="281"/>
      <c r="E6" s="291"/>
      <c r="F6" s="292"/>
      <c r="G6" s="292"/>
      <c r="H6" s="292"/>
      <c r="I6" s="290"/>
      <c r="J6" s="290"/>
      <c r="K6" s="290"/>
      <c r="L6" s="290"/>
      <c r="M6" s="276"/>
      <c r="N6" s="314"/>
      <c r="O6" s="314"/>
      <c r="P6" s="315"/>
      <c r="Q6" s="286"/>
      <c r="R6" s="332"/>
      <c r="S6" s="332"/>
      <c r="T6" s="333"/>
      <c r="U6" s="337"/>
      <c r="V6" s="332"/>
      <c r="W6" s="333"/>
      <c r="X6" s="332"/>
      <c r="Y6" s="332"/>
      <c r="Z6" s="332"/>
      <c r="AA6" s="333"/>
      <c r="AB6" s="334"/>
      <c r="AC6" s="335"/>
      <c r="AD6" s="335"/>
      <c r="AE6" s="336"/>
      <c r="AF6" s="334"/>
      <c r="AG6" s="335"/>
      <c r="AH6" s="335"/>
      <c r="AI6" s="336"/>
      <c r="AJ6" s="334"/>
      <c r="AK6" s="335"/>
      <c r="AL6" s="335"/>
      <c r="AM6" s="335"/>
      <c r="AN6" s="335"/>
      <c r="AO6" s="335"/>
      <c r="AP6" s="335"/>
      <c r="AQ6" s="335"/>
      <c r="AR6" s="335"/>
      <c r="AS6" s="335"/>
      <c r="AT6" s="335"/>
      <c r="AU6" s="335"/>
      <c r="AV6" s="335"/>
      <c r="AW6" s="335"/>
      <c r="AX6" s="335"/>
      <c r="AY6" s="336"/>
    </row>
    <row r="7" spans="1:51">
      <c r="A7" s="280"/>
      <c r="B7" s="280"/>
      <c r="C7" s="280"/>
      <c r="D7" s="281"/>
      <c r="E7" s="291"/>
      <c r="F7" s="292"/>
      <c r="G7" s="292"/>
      <c r="H7" s="292"/>
      <c r="I7" s="290"/>
      <c r="J7" s="290"/>
      <c r="K7" s="290"/>
      <c r="L7" s="290"/>
      <c r="M7" s="276"/>
      <c r="N7" s="314"/>
      <c r="O7" s="314"/>
      <c r="P7" s="315"/>
      <c r="Q7" s="286"/>
      <c r="R7" s="332"/>
      <c r="S7" s="332"/>
      <c r="T7" s="333"/>
      <c r="U7" s="337"/>
      <c r="V7" s="332"/>
      <c r="W7" s="333"/>
      <c r="X7" s="332"/>
      <c r="Y7" s="332"/>
      <c r="Z7" s="332"/>
      <c r="AA7" s="333"/>
      <c r="AB7" s="334"/>
      <c r="AC7" s="335"/>
      <c r="AD7" s="335"/>
      <c r="AE7" s="336"/>
      <c r="AF7" s="334"/>
      <c r="AG7" s="335"/>
      <c r="AH7" s="335"/>
      <c r="AI7" s="336"/>
      <c r="AJ7" s="334"/>
      <c r="AK7" s="335"/>
      <c r="AL7" s="335"/>
      <c r="AM7" s="335"/>
      <c r="AN7" s="335"/>
      <c r="AO7" s="335"/>
      <c r="AP7" s="335"/>
      <c r="AQ7" s="335"/>
      <c r="AR7" s="335"/>
      <c r="AS7" s="335"/>
      <c r="AT7" s="335"/>
      <c r="AU7" s="335"/>
      <c r="AV7" s="335"/>
      <c r="AW7" s="335"/>
      <c r="AX7" s="335"/>
      <c r="AY7" s="336"/>
    </row>
    <row r="8" spans="1:51">
      <c r="A8" s="293" t="s">
        <v>199</v>
      </c>
      <c r="B8" s="293" t="s">
        <v>37</v>
      </c>
      <c r="C8" s="293" t="s">
        <v>38</v>
      </c>
      <c r="D8" s="293" t="s">
        <v>39</v>
      </c>
      <c r="E8" s="294"/>
      <c r="F8" s="295"/>
      <c r="G8" s="295"/>
      <c r="H8" s="295"/>
      <c r="I8" s="296" t="s">
        <v>42</v>
      </c>
      <c r="J8" s="296" t="s">
        <v>43</v>
      </c>
      <c r="K8" s="296" t="s">
        <v>44</v>
      </c>
      <c r="L8" s="296" t="s">
        <v>45</v>
      </c>
      <c r="M8" s="297"/>
      <c r="N8" s="338"/>
      <c r="O8" s="338"/>
      <c r="P8" s="339"/>
      <c r="Q8" s="320"/>
      <c r="R8" s="321"/>
      <c r="S8" s="321"/>
      <c r="T8" s="340"/>
      <c r="U8" s="341"/>
      <c r="V8" s="321"/>
      <c r="W8" s="340"/>
      <c r="X8" s="321"/>
      <c r="Y8" s="321"/>
      <c r="Z8" s="321"/>
      <c r="AA8" s="340"/>
      <c r="AB8" s="342"/>
      <c r="AC8" s="343"/>
      <c r="AD8" s="343"/>
      <c r="AE8" s="344"/>
      <c r="AF8" s="342"/>
      <c r="AG8" s="343"/>
      <c r="AH8" s="343"/>
      <c r="AI8" s="344"/>
      <c r="AJ8" s="342"/>
      <c r="AK8" s="343"/>
      <c r="AL8" s="343"/>
      <c r="AM8" s="343"/>
      <c r="AN8" s="343"/>
      <c r="AO8" s="343"/>
      <c r="AP8" s="343"/>
      <c r="AQ8" s="343"/>
      <c r="AR8" s="343"/>
      <c r="AS8" s="343"/>
      <c r="AT8" s="343"/>
      <c r="AU8" s="343"/>
      <c r="AV8" s="343"/>
      <c r="AW8" s="343"/>
      <c r="AX8" s="343"/>
      <c r="AY8" s="344"/>
    </row>
    <row r="9" spans="1:51">
      <c r="A9" s="300">
        <f>ROW()-7</f>
        <v>2</v>
      </c>
      <c r="B9" s="301" t="s">
        <v>200</v>
      </c>
      <c r="C9" s="301" t="s">
        <v>33</v>
      </c>
      <c r="D9" s="301" t="s">
        <v>34</v>
      </c>
      <c r="E9" s="302"/>
      <c r="F9" s="301"/>
      <c r="G9" s="301"/>
      <c r="H9" s="301"/>
      <c r="I9" s="303"/>
      <c r="J9" s="304"/>
      <c r="K9" s="303"/>
      <c r="L9" s="304"/>
      <c r="M9" s="345" t="s">
        <v>201</v>
      </c>
      <c r="N9" s="346"/>
      <c r="O9" s="346"/>
      <c r="P9" s="347"/>
      <c r="Q9" s="348" t="s">
        <v>202</v>
      </c>
      <c r="R9" s="349"/>
      <c r="S9" s="349"/>
      <c r="T9" s="350"/>
      <c r="U9" s="351"/>
      <c r="V9" s="351"/>
      <c r="W9" s="352"/>
      <c r="X9" s="349" t="s">
        <v>202</v>
      </c>
      <c r="Y9" s="349"/>
      <c r="Z9" s="349"/>
      <c r="AA9" s="350"/>
      <c r="AB9" s="353" t="s">
        <v>202</v>
      </c>
      <c r="AC9" s="353"/>
      <c r="AD9" s="353"/>
      <c r="AE9" s="353"/>
      <c r="AF9" s="353" t="s">
        <v>202</v>
      </c>
      <c r="AG9" s="353"/>
      <c r="AH9" s="353"/>
      <c r="AI9" s="353"/>
      <c r="AJ9" s="353" t="s">
        <v>11</v>
      </c>
      <c r="AK9" s="353"/>
      <c r="AL9" s="353"/>
      <c r="AM9" s="353"/>
      <c r="AN9" s="353"/>
      <c r="AO9" s="353"/>
      <c r="AP9" s="353"/>
      <c r="AQ9" s="353"/>
      <c r="AR9" s="353"/>
      <c r="AS9" s="353"/>
      <c r="AT9" s="353"/>
      <c r="AU9" s="353"/>
      <c r="AV9" s="353"/>
      <c r="AW9" s="353"/>
      <c r="AX9" s="353"/>
      <c r="AY9" s="353"/>
    </row>
    <row r="10" spans="1:51" ht="13.5" customHeight="1">
      <c r="A10" s="300">
        <f t="shared" ref="A10:A35" si="0">ROW()-7</f>
        <v>3</v>
      </c>
      <c r="B10" s="301" t="s">
        <v>32</v>
      </c>
      <c r="C10" s="301" t="s">
        <v>33</v>
      </c>
      <c r="D10" s="301" t="s">
        <v>34</v>
      </c>
      <c r="E10" s="302" t="s">
        <v>262</v>
      </c>
      <c r="F10" s="301"/>
      <c r="G10" s="301"/>
      <c r="H10" s="301"/>
      <c r="I10" s="303">
        <v>43747</v>
      </c>
      <c r="J10" s="304" t="s">
        <v>271</v>
      </c>
      <c r="K10" s="303"/>
      <c r="L10" s="304"/>
      <c r="M10" s="354"/>
      <c r="N10" s="355" t="s">
        <v>203</v>
      </c>
      <c r="O10" s="346"/>
      <c r="P10" s="347"/>
      <c r="Q10" s="348" t="s">
        <v>202</v>
      </c>
      <c r="R10" s="349"/>
      <c r="S10" s="349"/>
      <c r="T10" s="350"/>
      <c r="U10" s="356"/>
      <c r="V10" s="357"/>
      <c r="W10" s="358"/>
      <c r="X10" s="359" t="s">
        <v>202</v>
      </c>
      <c r="Y10" s="359"/>
      <c r="Z10" s="359"/>
      <c r="AA10" s="360"/>
      <c r="AB10" s="361" t="s">
        <v>202</v>
      </c>
      <c r="AC10" s="361"/>
      <c r="AD10" s="361"/>
      <c r="AE10" s="361"/>
      <c r="AF10" s="361" t="s">
        <v>204</v>
      </c>
      <c r="AG10" s="361"/>
      <c r="AH10" s="361"/>
      <c r="AI10" s="361"/>
      <c r="AJ10" s="362" t="s">
        <v>205</v>
      </c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362"/>
    </row>
    <row r="11" spans="1:51" ht="13.5" customHeight="1">
      <c r="A11" s="300">
        <f t="shared" si="0"/>
        <v>4</v>
      </c>
      <c r="B11" s="301" t="s">
        <v>32</v>
      </c>
      <c r="C11" s="301" t="s">
        <v>33</v>
      </c>
      <c r="D11" s="301" t="s">
        <v>34</v>
      </c>
      <c r="E11" s="302" t="s">
        <v>262</v>
      </c>
      <c r="F11" s="301"/>
      <c r="G11" s="301"/>
      <c r="H11" s="301"/>
      <c r="I11" s="303">
        <v>43747</v>
      </c>
      <c r="J11" s="304" t="s">
        <v>271</v>
      </c>
      <c r="K11" s="303"/>
      <c r="L11" s="304"/>
      <c r="M11" s="354"/>
      <c r="N11" s="355" t="s">
        <v>206</v>
      </c>
      <c r="O11" s="346"/>
      <c r="P11" s="347"/>
      <c r="Q11" s="348" t="s">
        <v>207</v>
      </c>
      <c r="R11" s="349"/>
      <c r="S11" s="349"/>
      <c r="T11" s="350"/>
      <c r="U11" s="356" t="s">
        <v>208</v>
      </c>
      <c r="V11" s="357"/>
      <c r="W11" s="358"/>
      <c r="X11" s="363" t="s">
        <v>209</v>
      </c>
      <c r="Y11" s="359"/>
      <c r="Z11" s="359"/>
      <c r="AA11" s="360"/>
      <c r="AB11" s="361" t="s">
        <v>210</v>
      </c>
      <c r="AC11" s="361"/>
      <c r="AD11" s="361"/>
      <c r="AE11" s="361"/>
      <c r="AF11" s="361" t="s">
        <v>204</v>
      </c>
      <c r="AG11" s="361"/>
      <c r="AH11" s="361"/>
      <c r="AI11" s="361"/>
      <c r="AJ11" s="362" t="s">
        <v>205</v>
      </c>
      <c r="AK11" s="362"/>
      <c r="AL11" s="362"/>
      <c r="AM11" s="362"/>
      <c r="AN11" s="362"/>
      <c r="AO11" s="362"/>
      <c r="AP11" s="362"/>
      <c r="AQ11" s="362"/>
      <c r="AR11" s="362"/>
      <c r="AS11" s="362"/>
      <c r="AT11" s="362"/>
      <c r="AU11" s="362"/>
      <c r="AV11" s="362"/>
      <c r="AW11" s="362"/>
      <c r="AX11" s="362"/>
      <c r="AY11" s="362"/>
    </row>
    <row r="12" spans="1:51" ht="13.5" customHeight="1">
      <c r="A12" s="300">
        <f t="shared" si="0"/>
        <v>5</v>
      </c>
      <c r="B12" s="301" t="s">
        <v>32</v>
      </c>
      <c r="C12" s="301" t="s">
        <v>33</v>
      </c>
      <c r="D12" s="301" t="s">
        <v>34</v>
      </c>
      <c r="E12" s="302" t="s">
        <v>262</v>
      </c>
      <c r="F12" s="301"/>
      <c r="G12" s="301"/>
      <c r="H12" s="301"/>
      <c r="I12" s="303">
        <v>43747</v>
      </c>
      <c r="J12" s="304" t="s">
        <v>271</v>
      </c>
      <c r="K12" s="303"/>
      <c r="L12" s="304"/>
      <c r="M12" s="354"/>
      <c r="N12" s="355" t="s">
        <v>211</v>
      </c>
      <c r="O12" s="346"/>
      <c r="P12" s="347"/>
      <c r="Q12" s="348" t="s">
        <v>212</v>
      </c>
      <c r="R12" s="349"/>
      <c r="S12" s="349"/>
      <c r="T12" s="350"/>
      <c r="U12" s="364">
        <v>0</v>
      </c>
      <c r="V12" s="365"/>
      <c r="W12" s="366"/>
      <c r="X12" s="363" t="s">
        <v>213</v>
      </c>
      <c r="Y12" s="359"/>
      <c r="Z12" s="359"/>
      <c r="AA12" s="360"/>
      <c r="AB12" s="361" t="s">
        <v>210</v>
      </c>
      <c r="AC12" s="361"/>
      <c r="AD12" s="361"/>
      <c r="AE12" s="361"/>
      <c r="AF12" s="361" t="s">
        <v>204</v>
      </c>
      <c r="AG12" s="361"/>
      <c r="AH12" s="361"/>
      <c r="AI12" s="361"/>
      <c r="AJ12" s="362" t="s">
        <v>205</v>
      </c>
      <c r="AK12" s="362"/>
      <c r="AL12" s="362"/>
      <c r="AM12" s="362"/>
      <c r="AN12" s="362"/>
      <c r="AO12" s="362"/>
      <c r="AP12" s="362"/>
      <c r="AQ12" s="362"/>
      <c r="AR12" s="362"/>
      <c r="AS12" s="362"/>
      <c r="AT12" s="362"/>
      <c r="AU12" s="362"/>
      <c r="AV12" s="362"/>
      <c r="AW12" s="362"/>
      <c r="AX12" s="362"/>
      <c r="AY12" s="362"/>
    </row>
    <row r="13" spans="1:51" ht="13.5" customHeight="1">
      <c r="A13" s="300">
        <f t="shared" si="0"/>
        <v>6</v>
      </c>
      <c r="B13" s="301" t="s">
        <v>32</v>
      </c>
      <c r="C13" s="301" t="s">
        <v>33</v>
      </c>
      <c r="D13" s="301" t="s">
        <v>34</v>
      </c>
      <c r="E13" s="302" t="s">
        <v>262</v>
      </c>
      <c r="F13" s="301"/>
      <c r="G13" s="301"/>
      <c r="H13" s="301"/>
      <c r="I13" s="303">
        <v>43747</v>
      </c>
      <c r="J13" s="304" t="s">
        <v>271</v>
      </c>
      <c r="K13" s="303"/>
      <c r="L13" s="304"/>
      <c r="M13" s="354"/>
      <c r="N13" s="355" t="s">
        <v>214</v>
      </c>
      <c r="O13" s="346"/>
      <c r="P13" s="347"/>
      <c r="Q13" s="348" t="s">
        <v>207</v>
      </c>
      <c r="R13" s="349"/>
      <c r="S13" s="349"/>
      <c r="T13" s="350"/>
      <c r="U13" s="356" t="s">
        <v>208</v>
      </c>
      <c r="V13" s="357"/>
      <c r="W13" s="358"/>
      <c r="X13" s="363" t="s">
        <v>209</v>
      </c>
      <c r="Y13" s="359"/>
      <c r="Z13" s="359"/>
      <c r="AA13" s="360"/>
      <c r="AB13" s="361" t="s">
        <v>210</v>
      </c>
      <c r="AC13" s="361"/>
      <c r="AD13" s="361"/>
      <c r="AE13" s="361"/>
      <c r="AF13" s="361" t="s">
        <v>204</v>
      </c>
      <c r="AG13" s="361"/>
      <c r="AH13" s="361"/>
      <c r="AI13" s="361"/>
      <c r="AJ13" s="362" t="s">
        <v>205</v>
      </c>
      <c r="AK13" s="362"/>
      <c r="AL13" s="362"/>
      <c r="AM13" s="362"/>
      <c r="AN13" s="362"/>
      <c r="AO13" s="362"/>
      <c r="AP13" s="362"/>
      <c r="AQ13" s="362"/>
      <c r="AR13" s="362"/>
      <c r="AS13" s="362"/>
      <c r="AT13" s="362"/>
      <c r="AU13" s="362"/>
      <c r="AV13" s="362"/>
      <c r="AW13" s="362"/>
      <c r="AX13" s="362"/>
      <c r="AY13" s="362"/>
    </row>
    <row r="14" spans="1:51">
      <c r="A14" s="300">
        <f t="shared" si="0"/>
        <v>7</v>
      </c>
      <c r="B14" s="301" t="s">
        <v>200</v>
      </c>
      <c r="C14" s="301" t="s">
        <v>33</v>
      </c>
      <c r="D14" s="301" t="s">
        <v>34</v>
      </c>
      <c r="E14" s="302"/>
      <c r="F14" s="301"/>
      <c r="G14" s="301"/>
      <c r="H14" s="301"/>
      <c r="I14" s="303"/>
      <c r="J14" s="304"/>
      <c r="K14" s="303"/>
      <c r="L14" s="304"/>
      <c r="M14" s="345" t="s">
        <v>215</v>
      </c>
      <c r="N14" s="346"/>
      <c r="O14" s="346"/>
      <c r="P14" s="347"/>
      <c r="Q14" s="348"/>
      <c r="R14" s="349"/>
      <c r="S14" s="349"/>
      <c r="T14" s="350"/>
      <c r="U14" s="351"/>
      <c r="V14" s="351"/>
      <c r="W14" s="352"/>
      <c r="X14" s="349"/>
      <c r="Y14" s="349"/>
      <c r="Z14" s="349"/>
      <c r="AA14" s="350"/>
      <c r="AB14" s="353" t="s">
        <v>216</v>
      </c>
      <c r="AC14" s="353"/>
      <c r="AD14" s="353"/>
      <c r="AE14" s="353"/>
      <c r="AF14" s="353" t="s">
        <v>216</v>
      </c>
      <c r="AG14" s="353"/>
      <c r="AH14" s="353"/>
      <c r="AI14" s="353"/>
      <c r="AJ14" s="353"/>
      <c r="AK14" s="353"/>
      <c r="AL14" s="353"/>
      <c r="AM14" s="353"/>
      <c r="AN14" s="353"/>
      <c r="AO14" s="353"/>
      <c r="AP14" s="353"/>
      <c r="AQ14" s="353"/>
      <c r="AR14" s="353"/>
      <c r="AS14" s="353"/>
      <c r="AT14" s="353"/>
      <c r="AU14" s="353"/>
      <c r="AV14" s="353"/>
      <c r="AW14" s="353"/>
      <c r="AX14" s="353"/>
      <c r="AY14" s="353"/>
    </row>
    <row r="15" spans="1:51">
      <c r="A15" s="300">
        <f t="shared" si="0"/>
        <v>8</v>
      </c>
      <c r="B15" s="301" t="s">
        <v>32</v>
      </c>
      <c r="C15" s="301" t="s">
        <v>33</v>
      </c>
      <c r="D15" s="301" t="s">
        <v>34</v>
      </c>
      <c r="E15" s="302" t="s">
        <v>262</v>
      </c>
      <c r="F15" s="301"/>
      <c r="G15" s="301"/>
      <c r="H15" s="301"/>
      <c r="I15" s="303">
        <v>43747</v>
      </c>
      <c r="J15" s="304" t="s">
        <v>271</v>
      </c>
      <c r="K15" s="303"/>
      <c r="L15" s="304"/>
      <c r="M15" s="367"/>
      <c r="N15" s="355" t="s">
        <v>130</v>
      </c>
      <c r="O15" s="346"/>
      <c r="P15" s="347"/>
      <c r="Q15" s="353" t="s">
        <v>216</v>
      </c>
      <c r="R15" s="353"/>
      <c r="S15" s="353"/>
      <c r="T15" s="353"/>
      <c r="U15" s="356" t="s">
        <v>216</v>
      </c>
      <c r="V15" s="357"/>
      <c r="W15" s="358"/>
      <c r="X15" s="350" t="s">
        <v>216</v>
      </c>
      <c r="Y15" s="353"/>
      <c r="Z15" s="353"/>
      <c r="AA15" s="353"/>
      <c r="AB15" s="361" t="s">
        <v>217</v>
      </c>
      <c r="AC15" s="361"/>
      <c r="AD15" s="361"/>
      <c r="AE15" s="361"/>
      <c r="AF15" s="361" t="s">
        <v>204</v>
      </c>
      <c r="AG15" s="361"/>
      <c r="AH15" s="361"/>
      <c r="AI15" s="361"/>
      <c r="AJ15" s="362" t="s">
        <v>218</v>
      </c>
      <c r="AK15" s="362"/>
      <c r="AL15" s="362"/>
      <c r="AM15" s="362"/>
      <c r="AN15" s="362"/>
      <c r="AO15" s="362"/>
      <c r="AP15" s="362"/>
      <c r="AQ15" s="362"/>
      <c r="AR15" s="362"/>
      <c r="AS15" s="362"/>
      <c r="AT15" s="362"/>
      <c r="AU15" s="362"/>
      <c r="AV15" s="362"/>
      <c r="AW15" s="362"/>
      <c r="AX15" s="362"/>
      <c r="AY15" s="362"/>
    </row>
    <row r="16" spans="1:51">
      <c r="A16" s="300">
        <f t="shared" si="0"/>
        <v>9</v>
      </c>
      <c r="B16" s="301" t="s">
        <v>32</v>
      </c>
      <c r="C16" s="301" t="s">
        <v>33</v>
      </c>
      <c r="D16" s="301" t="s">
        <v>34</v>
      </c>
      <c r="E16" s="302" t="s">
        <v>262</v>
      </c>
      <c r="F16" s="301"/>
      <c r="G16" s="301"/>
      <c r="H16" s="301"/>
      <c r="I16" s="303">
        <v>43747</v>
      </c>
      <c r="J16" s="304" t="s">
        <v>271</v>
      </c>
      <c r="K16" s="303"/>
      <c r="L16" s="304"/>
      <c r="M16" s="367"/>
      <c r="N16" s="368"/>
      <c r="O16" s="369" t="s">
        <v>81</v>
      </c>
      <c r="P16" s="370"/>
      <c r="Q16" s="353" t="s">
        <v>219</v>
      </c>
      <c r="R16" s="353"/>
      <c r="S16" s="353"/>
      <c r="T16" s="353"/>
      <c r="U16" s="356" t="s">
        <v>219</v>
      </c>
      <c r="V16" s="357"/>
      <c r="W16" s="358"/>
      <c r="X16" s="350" t="s">
        <v>219</v>
      </c>
      <c r="Y16" s="353"/>
      <c r="Z16" s="353"/>
      <c r="AA16" s="353"/>
      <c r="AB16" s="353" t="s">
        <v>219</v>
      </c>
      <c r="AC16" s="353"/>
      <c r="AD16" s="353"/>
      <c r="AE16" s="353"/>
      <c r="AF16" s="353" t="s">
        <v>219</v>
      </c>
      <c r="AG16" s="353"/>
      <c r="AH16" s="353"/>
      <c r="AI16" s="353"/>
      <c r="AJ16" s="362" t="s">
        <v>220</v>
      </c>
      <c r="AK16" s="362"/>
      <c r="AL16" s="362"/>
      <c r="AM16" s="362"/>
      <c r="AN16" s="362"/>
      <c r="AO16" s="362"/>
      <c r="AP16" s="362"/>
      <c r="AQ16" s="362"/>
      <c r="AR16" s="362"/>
      <c r="AS16" s="362"/>
      <c r="AT16" s="362"/>
      <c r="AU16" s="362"/>
      <c r="AV16" s="362"/>
      <c r="AW16" s="362"/>
      <c r="AX16" s="362"/>
      <c r="AY16" s="362"/>
    </row>
    <row r="17" spans="1:51">
      <c r="A17" s="300">
        <f t="shared" si="0"/>
        <v>10</v>
      </c>
      <c r="B17" s="301" t="s">
        <v>32</v>
      </c>
      <c r="C17" s="301" t="s">
        <v>33</v>
      </c>
      <c r="D17" s="301" t="s">
        <v>34</v>
      </c>
      <c r="E17" s="302" t="s">
        <v>262</v>
      </c>
      <c r="F17" s="301"/>
      <c r="G17" s="301"/>
      <c r="H17" s="301"/>
      <c r="I17" s="303">
        <v>43747</v>
      </c>
      <c r="J17" s="304" t="s">
        <v>271</v>
      </c>
      <c r="K17" s="303"/>
      <c r="L17" s="304"/>
      <c r="M17" s="367"/>
      <c r="N17" s="371"/>
      <c r="O17" s="369" t="s">
        <v>221</v>
      </c>
      <c r="P17" s="370"/>
      <c r="Q17" s="353" t="s">
        <v>219</v>
      </c>
      <c r="R17" s="353"/>
      <c r="S17" s="353"/>
      <c r="T17" s="353"/>
      <c r="U17" s="356" t="s">
        <v>219</v>
      </c>
      <c r="V17" s="357"/>
      <c r="W17" s="358"/>
      <c r="X17" s="350" t="s">
        <v>219</v>
      </c>
      <c r="Y17" s="353"/>
      <c r="Z17" s="353"/>
      <c r="AA17" s="353"/>
      <c r="AB17" s="353" t="s">
        <v>219</v>
      </c>
      <c r="AC17" s="353"/>
      <c r="AD17" s="353"/>
      <c r="AE17" s="353"/>
      <c r="AF17" s="353" t="s">
        <v>219</v>
      </c>
      <c r="AG17" s="353"/>
      <c r="AH17" s="353"/>
      <c r="AI17" s="353"/>
      <c r="AJ17" s="362" t="s">
        <v>222</v>
      </c>
      <c r="AK17" s="362"/>
      <c r="AL17" s="362"/>
      <c r="AM17" s="362"/>
      <c r="AN17" s="362"/>
      <c r="AO17" s="362"/>
      <c r="AP17" s="362"/>
      <c r="AQ17" s="362"/>
      <c r="AR17" s="362"/>
      <c r="AS17" s="362"/>
      <c r="AT17" s="362"/>
      <c r="AU17" s="362"/>
      <c r="AV17" s="362"/>
      <c r="AW17" s="362"/>
      <c r="AX17" s="362"/>
      <c r="AY17" s="362"/>
    </row>
    <row r="18" spans="1:51">
      <c r="A18" s="300">
        <f t="shared" si="0"/>
        <v>11</v>
      </c>
      <c r="B18" s="301" t="s">
        <v>32</v>
      </c>
      <c r="C18" s="301" t="s">
        <v>33</v>
      </c>
      <c r="D18" s="301" t="s">
        <v>34</v>
      </c>
      <c r="E18" s="302" t="s">
        <v>262</v>
      </c>
      <c r="F18" s="301"/>
      <c r="G18" s="301"/>
      <c r="H18" s="301"/>
      <c r="I18" s="303">
        <v>43747</v>
      </c>
      <c r="J18" s="304" t="s">
        <v>271</v>
      </c>
      <c r="K18" s="303"/>
      <c r="L18" s="304"/>
      <c r="M18" s="367"/>
      <c r="N18" s="355" t="s">
        <v>223</v>
      </c>
      <c r="O18" s="346"/>
      <c r="P18" s="347"/>
      <c r="Q18" s="353" t="s">
        <v>219</v>
      </c>
      <c r="R18" s="353"/>
      <c r="S18" s="353"/>
      <c r="T18" s="353"/>
      <c r="U18" s="356" t="s">
        <v>219</v>
      </c>
      <c r="V18" s="357"/>
      <c r="W18" s="358"/>
      <c r="X18" s="350" t="s">
        <v>219</v>
      </c>
      <c r="Y18" s="353"/>
      <c r="Z18" s="353"/>
      <c r="AA18" s="353"/>
      <c r="AB18" s="361" t="s">
        <v>217</v>
      </c>
      <c r="AC18" s="361"/>
      <c r="AD18" s="361"/>
      <c r="AE18" s="361"/>
      <c r="AF18" s="361" t="s">
        <v>204</v>
      </c>
      <c r="AG18" s="361"/>
      <c r="AH18" s="361"/>
      <c r="AI18" s="361"/>
      <c r="AJ18" s="362" t="s">
        <v>218</v>
      </c>
      <c r="AK18" s="362"/>
      <c r="AL18" s="362"/>
      <c r="AM18" s="362"/>
      <c r="AN18" s="362"/>
      <c r="AO18" s="362"/>
      <c r="AP18" s="362"/>
      <c r="AQ18" s="362"/>
      <c r="AR18" s="362"/>
      <c r="AS18" s="362"/>
      <c r="AT18" s="362"/>
      <c r="AU18" s="362"/>
      <c r="AV18" s="362"/>
      <c r="AW18" s="362"/>
      <c r="AX18" s="362"/>
      <c r="AY18" s="362"/>
    </row>
    <row r="19" spans="1:51">
      <c r="A19" s="300">
        <f t="shared" si="0"/>
        <v>12</v>
      </c>
      <c r="B19" s="301" t="s">
        <v>32</v>
      </c>
      <c r="C19" s="301" t="s">
        <v>33</v>
      </c>
      <c r="D19" s="301" t="s">
        <v>34</v>
      </c>
      <c r="E19" s="302" t="s">
        <v>262</v>
      </c>
      <c r="F19" s="301"/>
      <c r="G19" s="301"/>
      <c r="H19" s="301"/>
      <c r="I19" s="303">
        <v>43747</v>
      </c>
      <c r="J19" s="304" t="s">
        <v>271</v>
      </c>
      <c r="K19" s="303"/>
      <c r="L19" s="304"/>
      <c r="M19" s="367"/>
      <c r="N19" s="368"/>
      <c r="O19" s="369" t="s">
        <v>81</v>
      </c>
      <c r="P19" s="370"/>
      <c r="Q19" s="353" t="s">
        <v>224</v>
      </c>
      <c r="R19" s="353"/>
      <c r="S19" s="353"/>
      <c r="T19" s="353"/>
      <c r="U19" s="356" t="s">
        <v>265</v>
      </c>
      <c r="V19" s="357"/>
      <c r="W19" s="358"/>
      <c r="X19" s="350" t="s">
        <v>265</v>
      </c>
      <c r="Y19" s="353"/>
      <c r="Z19" s="353"/>
      <c r="AA19" s="353"/>
      <c r="AB19" s="353" t="s">
        <v>210</v>
      </c>
      <c r="AC19" s="353"/>
      <c r="AD19" s="353"/>
      <c r="AE19" s="353"/>
      <c r="AF19" s="353" t="s">
        <v>219</v>
      </c>
      <c r="AG19" s="353"/>
      <c r="AH19" s="353"/>
      <c r="AI19" s="353"/>
      <c r="AJ19" s="362" t="s">
        <v>264</v>
      </c>
      <c r="AK19" s="362"/>
      <c r="AL19" s="362"/>
      <c r="AM19" s="362"/>
      <c r="AN19" s="362"/>
      <c r="AO19" s="362"/>
      <c r="AP19" s="362"/>
      <c r="AQ19" s="362"/>
      <c r="AR19" s="362"/>
      <c r="AS19" s="362"/>
      <c r="AT19" s="362"/>
      <c r="AU19" s="362"/>
      <c r="AV19" s="362"/>
      <c r="AW19" s="362"/>
      <c r="AX19" s="362"/>
      <c r="AY19" s="362"/>
    </row>
    <row r="20" spans="1:51">
      <c r="A20" s="300">
        <f t="shared" si="0"/>
        <v>13</v>
      </c>
      <c r="B20" s="301" t="s">
        <v>32</v>
      </c>
      <c r="C20" s="301" t="s">
        <v>33</v>
      </c>
      <c r="D20" s="301" t="s">
        <v>34</v>
      </c>
      <c r="E20" s="302" t="s">
        <v>262</v>
      </c>
      <c r="F20" s="301"/>
      <c r="G20" s="301"/>
      <c r="H20" s="301"/>
      <c r="I20" s="303">
        <v>43747</v>
      </c>
      <c r="J20" s="304" t="s">
        <v>271</v>
      </c>
      <c r="K20" s="303"/>
      <c r="L20" s="304"/>
      <c r="M20" s="367"/>
      <c r="N20" s="371"/>
      <c r="O20" s="369" t="s">
        <v>221</v>
      </c>
      <c r="P20" s="370"/>
      <c r="Q20" s="353" t="s">
        <v>224</v>
      </c>
      <c r="R20" s="353"/>
      <c r="S20" s="353"/>
      <c r="T20" s="353"/>
      <c r="U20" s="356" t="s">
        <v>265</v>
      </c>
      <c r="V20" s="357"/>
      <c r="W20" s="358"/>
      <c r="X20" s="350" t="s">
        <v>265</v>
      </c>
      <c r="Y20" s="353"/>
      <c r="Z20" s="353"/>
      <c r="AA20" s="353"/>
      <c r="AB20" s="353" t="s">
        <v>210</v>
      </c>
      <c r="AC20" s="353"/>
      <c r="AD20" s="353"/>
      <c r="AE20" s="353"/>
      <c r="AF20" s="353" t="s">
        <v>219</v>
      </c>
      <c r="AG20" s="353"/>
      <c r="AH20" s="353"/>
      <c r="AI20" s="353"/>
      <c r="AJ20" s="362" t="s">
        <v>264</v>
      </c>
      <c r="AK20" s="362"/>
      <c r="AL20" s="362"/>
      <c r="AM20" s="362"/>
      <c r="AN20" s="362"/>
      <c r="AO20" s="362"/>
      <c r="AP20" s="362"/>
      <c r="AQ20" s="362"/>
      <c r="AR20" s="362"/>
      <c r="AS20" s="362"/>
      <c r="AT20" s="362"/>
      <c r="AU20" s="362"/>
      <c r="AV20" s="362"/>
      <c r="AW20" s="362"/>
      <c r="AX20" s="362"/>
      <c r="AY20" s="362"/>
    </row>
    <row r="21" spans="1:51">
      <c r="A21" s="300">
        <f t="shared" si="0"/>
        <v>14</v>
      </c>
      <c r="B21" s="301" t="s">
        <v>32</v>
      </c>
      <c r="C21" s="301" t="s">
        <v>33</v>
      </c>
      <c r="D21" s="301" t="s">
        <v>34</v>
      </c>
      <c r="E21" s="302" t="s">
        <v>262</v>
      </c>
      <c r="F21" s="301"/>
      <c r="G21" s="301"/>
      <c r="H21" s="301"/>
      <c r="I21" s="303">
        <v>43747</v>
      </c>
      <c r="J21" s="304" t="s">
        <v>271</v>
      </c>
      <c r="K21" s="303"/>
      <c r="L21" s="304"/>
      <c r="M21" s="367"/>
      <c r="N21" s="355" t="s">
        <v>225</v>
      </c>
      <c r="O21" s="346"/>
      <c r="P21" s="347"/>
      <c r="Q21" s="353" t="s">
        <v>219</v>
      </c>
      <c r="R21" s="353"/>
      <c r="S21" s="353"/>
      <c r="T21" s="353"/>
      <c r="U21" s="356" t="s">
        <v>219</v>
      </c>
      <c r="V21" s="357"/>
      <c r="W21" s="358"/>
      <c r="X21" s="350" t="s">
        <v>219</v>
      </c>
      <c r="Y21" s="353"/>
      <c r="Z21" s="353"/>
      <c r="AA21" s="353"/>
      <c r="AB21" s="361" t="s">
        <v>217</v>
      </c>
      <c r="AC21" s="361"/>
      <c r="AD21" s="361"/>
      <c r="AE21" s="361"/>
      <c r="AF21" s="361" t="s">
        <v>204</v>
      </c>
      <c r="AG21" s="361"/>
      <c r="AH21" s="361"/>
      <c r="AI21" s="361"/>
      <c r="AJ21" s="362" t="s">
        <v>218</v>
      </c>
      <c r="AK21" s="362"/>
      <c r="AL21" s="362"/>
      <c r="AM21" s="362"/>
      <c r="AN21" s="362"/>
      <c r="AO21" s="362"/>
      <c r="AP21" s="362"/>
      <c r="AQ21" s="362"/>
      <c r="AR21" s="362"/>
      <c r="AS21" s="362"/>
      <c r="AT21" s="362"/>
      <c r="AU21" s="362"/>
      <c r="AV21" s="362"/>
      <c r="AW21" s="362"/>
      <c r="AX21" s="362"/>
      <c r="AY21" s="362"/>
    </row>
    <row r="22" spans="1:51">
      <c r="A22" s="300">
        <f t="shared" si="0"/>
        <v>15</v>
      </c>
      <c r="B22" s="301" t="s">
        <v>32</v>
      </c>
      <c r="C22" s="301" t="s">
        <v>33</v>
      </c>
      <c r="D22" s="301" t="s">
        <v>34</v>
      </c>
      <c r="E22" s="302" t="s">
        <v>262</v>
      </c>
      <c r="F22" s="301"/>
      <c r="G22" s="301"/>
      <c r="H22" s="301"/>
      <c r="I22" s="303">
        <v>43747</v>
      </c>
      <c r="J22" s="304" t="s">
        <v>271</v>
      </c>
      <c r="K22" s="303"/>
      <c r="L22" s="304"/>
      <c r="M22" s="367"/>
      <c r="N22" s="368"/>
      <c r="O22" s="369" t="s">
        <v>81</v>
      </c>
      <c r="P22" s="370"/>
      <c r="Q22" s="353" t="s">
        <v>226</v>
      </c>
      <c r="R22" s="353"/>
      <c r="S22" s="353"/>
      <c r="T22" s="353"/>
      <c r="U22" s="403">
        <v>0</v>
      </c>
      <c r="V22" s="404"/>
      <c r="W22" s="405"/>
      <c r="X22" s="350" t="s">
        <v>266</v>
      </c>
      <c r="Y22" s="353"/>
      <c r="Z22" s="353"/>
      <c r="AA22" s="353"/>
      <c r="AB22" s="353" t="s">
        <v>210</v>
      </c>
      <c r="AC22" s="353"/>
      <c r="AD22" s="353"/>
      <c r="AE22" s="353"/>
      <c r="AF22" s="353" t="s">
        <v>219</v>
      </c>
      <c r="AG22" s="353"/>
      <c r="AH22" s="353"/>
      <c r="AI22" s="353"/>
      <c r="AJ22" s="362"/>
      <c r="AK22" s="362"/>
      <c r="AL22" s="362"/>
      <c r="AM22" s="362"/>
      <c r="AN22" s="362"/>
      <c r="AO22" s="362"/>
      <c r="AP22" s="362"/>
      <c r="AQ22" s="362"/>
      <c r="AR22" s="362"/>
      <c r="AS22" s="362"/>
      <c r="AT22" s="362"/>
      <c r="AU22" s="362"/>
      <c r="AV22" s="362"/>
      <c r="AW22" s="362"/>
      <c r="AX22" s="362"/>
      <c r="AY22" s="362"/>
    </row>
    <row r="23" spans="1:51">
      <c r="A23" s="300">
        <f t="shared" si="0"/>
        <v>16</v>
      </c>
      <c r="B23" s="301" t="s">
        <v>32</v>
      </c>
      <c r="C23" s="301" t="s">
        <v>33</v>
      </c>
      <c r="D23" s="301" t="s">
        <v>34</v>
      </c>
      <c r="E23" s="302" t="s">
        <v>262</v>
      </c>
      <c r="F23" s="301"/>
      <c r="G23" s="301"/>
      <c r="H23" s="301"/>
      <c r="I23" s="303">
        <v>43747</v>
      </c>
      <c r="J23" s="304" t="s">
        <v>271</v>
      </c>
      <c r="K23" s="303"/>
      <c r="L23" s="304"/>
      <c r="M23" s="367"/>
      <c r="N23" s="371"/>
      <c r="O23" s="369" t="s">
        <v>221</v>
      </c>
      <c r="P23" s="370"/>
      <c r="Q23" s="353" t="s">
        <v>226</v>
      </c>
      <c r="R23" s="353"/>
      <c r="S23" s="353"/>
      <c r="T23" s="353"/>
      <c r="U23" s="403">
        <v>0</v>
      </c>
      <c r="V23" s="404"/>
      <c r="W23" s="405"/>
      <c r="X23" s="350" t="s">
        <v>266</v>
      </c>
      <c r="Y23" s="353"/>
      <c r="Z23" s="353"/>
      <c r="AA23" s="353"/>
      <c r="AB23" s="353" t="s">
        <v>210</v>
      </c>
      <c r="AC23" s="353"/>
      <c r="AD23" s="353"/>
      <c r="AE23" s="353"/>
      <c r="AF23" s="353" t="s">
        <v>219</v>
      </c>
      <c r="AG23" s="353"/>
      <c r="AH23" s="353"/>
      <c r="AI23" s="353"/>
      <c r="AJ23" s="362"/>
      <c r="AK23" s="362"/>
      <c r="AL23" s="362"/>
      <c r="AM23" s="362"/>
      <c r="AN23" s="362"/>
      <c r="AO23" s="362"/>
      <c r="AP23" s="362"/>
      <c r="AQ23" s="362"/>
      <c r="AR23" s="362"/>
      <c r="AS23" s="362"/>
      <c r="AT23" s="362"/>
      <c r="AU23" s="362"/>
      <c r="AV23" s="362"/>
      <c r="AW23" s="362"/>
      <c r="AX23" s="362"/>
      <c r="AY23" s="362"/>
    </row>
    <row r="24" spans="1:51">
      <c r="A24" s="300">
        <f t="shared" si="0"/>
        <v>17</v>
      </c>
      <c r="B24" s="301" t="s">
        <v>32</v>
      </c>
      <c r="C24" s="301" t="s">
        <v>33</v>
      </c>
      <c r="D24" s="301" t="s">
        <v>34</v>
      </c>
      <c r="E24" s="302" t="s">
        <v>262</v>
      </c>
      <c r="F24" s="301"/>
      <c r="G24" s="301"/>
      <c r="H24" s="301"/>
      <c r="I24" s="303">
        <v>43747</v>
      </c>
      <c r="J24" s="304" t="s">
        <v>271</v>
      </c>
      <c r="K24" s="303"/>
      <c r="L24" s="304"/>
      <c r="M24" s="367"/>
      <c r="N24" s="355" t="s">
        <v>227</v>
      </c>
      <c r="O24" s="346"/>
      <c r="P24" s="347"/>
      <c r="Q24" s="353" t="s">
        <v>219</v>
      </c>
      <c r="R24" s="353"/>
      <c r="S24" s="353"/>
      <c r="T24" s="353"/>
      <c r="U24" s="356" t="s">
        <v>219</v>
      </c>
      <c r="V24" s="357"/>
      <c r="W24" s="358"/>
      <c r="X24" s="350" t="s">
        <v>219</v>
      </c>
      <c r="Y24" s="353"/>
      <c r="Z24" s="353"/>
      <c r="AA24" s="353"/>
      <c r="AB24" s="361" t="s">
        <v>217</v>
      </c>
      <c r="AC24" s="361"/>
      <c r="AD24" s="361"/>
      <c r="AE24" s="361"/>
      <c r="AF24" s="361" t="s">
        <v>204</v>
      </c>
      <c r="AG24" s="361"/>
      <c r="AH24" s="361"/>
      <c r="AI24" s="361"/>
      <c r="AJ24" s="362" t="s">
        <v>218</v>
      </c>
      <c r="AK24" s="362"/>
      <c r="AL24" s="362"/>
      <c r="AM24" s="362"/>
      <c r="AN24" s="362"/>
      <c r="AO24" s="362"/>
      <c r="AP24" s="362"/>
      <c r="AQ24" s="362"/>
      <c r="AR24" s="362"/>
      <c r="AS24" s="362"/>
      <c r="AT24" s="362"/>
      <c r="AU24" s="362"/>
      <c r="AV24" s="362"/>
      <c r="AW24" s="362"/>
      <c r="AX24" s="362"/>
      <c r="AY24" s="362"/>
    </row>
    <row r="25" spans="1:51">
      <c r="A25" s="300">
        <f t="shared" si="0"/>
        <v>18</v>
      </c>
      <c r="B25" s="301" t="s">
        <v>32</v>
      </c>
      <c r="C25" s="301" t="s">
        <v>33</v>
      </c>
      <c r="D25" s="301" t="s">
        <v>34</v>
      </c>
      <c r="E25" s="302" t="s">
        <v>262</v>
      </c>
      <c r="F25" s="301"/>
      <c r="G25" s="301"/>
      <c r="H25" s="301"/>
      <c r="I25" s="303">
        <v>43747</v>
      </c>
      <c r="J25" s="304" t="s">
        <v>271</v>
      </c>
      <c r="K25" s="303"/>
      <c r="L25" s="304"/>
      <c r="M25" s="367"/>
      <c r="N25" s="368"/>
      <c r="O25" s="369" t="s">
        <v>81</v>
      </c>
      <c r="P25" s="370"/>
      <c r="Q25" s="353" t="s">
        <v>228</v>
      </c>
      <c r="R25" s="353"/>
      <c r="S25" s="353"/>
      <c r="T25" s="353"/>
      <c r="U25" s="356" t="s">
        <v>219</v>
      </c>
      <c r="V25" s="357"/>
      <c r="W25" s="358"/>
      <c r="X25" s="350" t="s">
        <v>219</v>
      </c>
      <c r="Y25" s="353"/>
      <c r="Z25" s="353"/>
      <c r="AA25" s="353"/>
      <c r="AB25" s="353" t="s">
        <v>210</v>
      </c>
      <c r="AC25" s="353"/>
      <c r="AD25" s="353"/>
      <c r="AE25" s="353"/>
      <c r="AF25" s="353" t="s">
        <v>219</v>
      </c>
      <c r="AG25" s="353"/>
      <c r="AH25" s="353"/>
      <c r="AI25" s="353"/>
      <c r="AJ25" s="362"/>
      <c r="AK25" s="362"/>
      <c r="AL25" s="362"/>
      <c r="AM25" s="362"/>
      <c r="AN25" s="362"/>
      <c r="AO25" s="362"/>
      <c r="AP25" s="362"/>
      <c r="AQ25" s="362"/>
      <c r="AR25" s="362"/>
      <c r="AS25" s="362"/>
      <c r="AT25" s="362"/>
      <c r="AU25" s="362"/>
      <c r="AV25" s="362"/>
      <c r="AW25" s="362"/>
      <c r="AX25" s="362"/>
      <c r="AY25" s="362"/>
    </row>
    <row r="26" spans="1:51">
      <c r="A26" s="300">
        <f t="shared" si="0"/>
        <v>19</v>
      </c>
      <c r="B26" s="301" t="s">
        <v>32</v>
      </c>
      <c r="C26" s="301" t="s">
        <v>33</v>
      </c>
      <c r="D26" s="301" t="s">
        <v>34</v>
      </c>
      <c r="E26" s="302" t="s">
        <v>262</v>
      </c>
      <c r="F26" s="301"/>
      <c r="G26" s="301"/>
      <c r="H26" s="301"/>
      <c r="I26" s="303">
        <v>43747</v>
      </c>
      <c r="J26" s="304" t="s">
        <v>271</v>
      </c>
      <c r="K26" s="303"/>
      <c r="L26" s="304"/>
      <c r="M26" s="367"/>
      <c r="N26" s="371"/>
      <c r="O26" s="369" t="s">
        <v>221</v>
      </c>
      <c r="P26" s="370"/>
      <c r="Q26" s="353" t="s">
        <v>228</v>
      </c>
      <c r="R26" s="353"/>
      <c r="S26" s="353"/>
      <c r="T26" s="353"/>
      <c r="U26" s="356" t="s">
        <v>219</v>
      </c>
      <c r="V26" s="357"/>
      <c r="W26" s="358"/>
      <c r="X26" s="350" t="s">
        <v>219</v>
      </c>
      <c r="Y26" s="353"/>
      <c r="Z26" s="353"/>
      <c r="AA26" s="353"/>
      <c r="AB26" s="353" t="s">
        <v>210</v>
      </c>
      <c r="AC26" s="353"/>
      <c r="AD26" s="353"/>
      <c r="AE26" s="353"/>
      <c r="AF26" s="353" t="s">
        <v>219</v>
      </c>
      <c r="AG26" s="353"/>
      <c r="AH26" s="353"/>
      <c r="AI26" s="353"/>
      <c r="AJ26" s="362"/>
      <c r="AK26" s="362"/>
      <c r="AL26" s="362"/>
      <c r="AM26" s="362"/>
      <c r="AN26" s="362"/>
      <c r="AO26" s="362"/>
      <c r="AP26" s="362"/>
      <c r="AQ26" s="362"/>
      <c r="AR26" s="362"/>
      <c r="AS26" s="362"/>
      <c r="AT26" s="362"/>
      <c r="AU26" s="362"/>
      <c r="AV26" s="362"/>
      <c r="AW26" s="362"/>
      <c r="AX26" s="362"/>
      <c r="AY26" s="362"/>
    </row>
    <row r="27" spans="1:51">
      <c r="A27" s="300">
        <f t="shared" si="0"/>
        <v>20</v>
      </c>
      <c r="B27" s="301" t="s">
        <v>32</v>
      </c>
      <c r="C27" s="301" t="s">
        <v>33</v>
      </c>
      <c r="D27" s="301" t="s">
        <v>34</v>
      </c>
      <c r="E27" s="302" t="s">
        <v>262</v>
      </c>
      <c r="F27" s="301"/>
      <c r="G27" s="301"/>
      <c r="H27" s="301"/>
      <c r="I27" s="303">
        <v>43747</v>
      </c>
      <c r="J27" s="304" t="s">
        <v>271</v>
      </c>
      <c r="K27" s="303"/>
      <c r="L27" s="304"/>
      <c r="M27" s="367"/>
      <c r="N27" s="355" t="s">
        <v>229</v>
      </c>
      <c r="O27" s="346"/>
      <c r="P27" s="347"/>
      <c r="Q27" s="353" t="s">
        <v>219</v>
      </c>
      <c r="R27" s="353"/>
      <c r="S27" s="353"/>
      <c r="T27" s="353"/>
      <c r="U27" s="356" t="s">
        <v>219</v>
      </c>
      <c r="V27" s="357"/>
      <c r="W27" s="358"/>
      <c r="X27" s="350" t="s">
        <v>219</v>
      </c>
      <c r="Y27" s="353"/>
      <c r="Z27" s="353"/>
      <c r="AA27" s="353"/>
      <c r="AB27" s="361" t="s">
        <v>217</v>
      </c>
      <c r="AC27" s="361"/>
      <c r="AD27" s="361"/>
      <c r="AE27" s="361"/>
      <c r="AF27" s="361" t="s">
        <v>204</v>
      </c>
      <c r="AG27" s="361"/>
      <c r="AH27" s="361"/>
      <c r="AI27" s="361"/>
      <c r="AJ27" s="362" t="s">
        <v>218</v>
      </c>
      <c r="AK27" s="362"/>
      <c r="AL27" s="362"/>
      <c r="AM27" s="362"/>
      <c r="AN27" s="362"/>
      <c r="AO27" s="362"/>
      <c r="AP27" s="362"/>
      <c r="AQ27" s="362"/>
      <c r="AR27" s="362"/>
      <c r="AS27" s="362"/>
      <c r="AT27" s="362"/>
      <c r="AU27" s="362"/>
      <c r="AV27" s="362"/>
      <c r="AW27" s="362"/>
      <c r="AX27" s="362"/>
      <c r="AY27" s="362"/>
    </row>
    <row r="28" spans="1:51">
      <c r="A28" s="300">
        <f t="shared" si="0"/>
        <v>21</v>
      </c>
      <c r="B28" s="301" t="s">
        <v>32</v>
      </c>
      <c r="C28" s="301" t="s">
        <v>33</v>
      </c>
      <c r="D28" s="301" t="s">
        <v>34</v>
      </c>
      <c r="E28" s="302" t="s">
        <v>262</v>
      </c>
      <c r="F28" s="301"/>
      <c r="G28" s="301"/>
      <c r="H28" s="301"/>
      <c r="I28" s="303">
        <v>43747</v>
      </c>
      <c r="J28" s="304" t="s">
        <v>271</v>
      </c>
      <c r="K28" s="303"/>
      <c r="L28" s="304"/>
      <c r="M28" s="367"/>
      <c r="N28" s="368"/>
      <c r="O28" s="369" t="s">
        <v>81</v>
      </c>
      <c r="P28" s="370"/>
      <c r="Q28" s="353" t="s">
        <v>228</v>
      </c>
      <c r="R28" s="353"/>
      <c r="S28" s="353"/>
      <c r="T28" s="353"/>
      <c r="U28" s="356">
        <v>0</v>
      </c>
      <c r="V28" s="357"/>
      <c r="W28" s="358"/>
      <c r="X28" s="350" t="s">
        <v>266</v>
      </c>
      <c r="Y28" s="353"/>
      <c r="Z28" s="353"/>
      <c r="AA28" s="353"/>
      <c r="AB28" s="353" t="s">
        <v>210</v>
      </c>
      <c r="AC28" s="353"/>
      <c r="AD28" s="353"/>
      <c r="AE28" s="353"/>
      <c r="AF28" s="353" t="s">
        <v>219</v>
      </c>
      <c r="AG28" s="353"/>
      <c r="AH28" s="353"/>
      <c r="AI28" s="353"/>
      <c r="AJ28" s="362"/>
      <c r="AK28" s="362"/>
      <c r="AL28" s="362"/>
      <c r="AM28" s="362"/>
      <c r="AN28" s="362"/>
      <c r="AO28" s="362"/>
      <c r="AP28" s="362"/>
      <c r="AQ28" s="362"/>
      <c r="AR28" s="362"/>
      <c r="AS28" s="362"/>
      <c r="AT28" s="362"/>
      <c r="AU28" s="362"/>
      <c r="AV28" s="362"/>
      <c r="AW28" s="362"/>
      <c r="AX28" s="362"/>
      <c r="AY28" s="362"/>
    </row>
    <row r="29" spans="1:51">
      <c r="A29" s="300">
        <f t="shared" si="0"/>
        <v>22</v>
      </c>
      <c r="B29" s="301" t="s">
        <v>32</v>
      </c>
      <c r="C29" s="301" t="s">
        <v>33</v>
      </c>
      <c r="D29" s="301" t="s">
        <v>34</v>
      </c>
      <c r="E29" s="302" t="s">
        <v>262</v>
      </c>
      <c r="F29" s="301"/>
      <c r="G29" s="301"/>
      <c r="H29" s="301"/>
      <c r="I29" s="303">
        <v>43747</v>
      </c>
      <c r="J29" s="304" t="s">
        <v>271</v>
      </c>
      <c r="K29" s="303"/>
      <c r="L29" s="304"/>
      <c r="M29" s="367"/>
      <c r="N29" s="371"/>
      <c r="O29" s="369" t="s">
        <v>221</v>
      </c>
      <c r="P29" s="370"/>
      <c r="Q29" s="353" t="s">
        <v>228</v>
      </c>
      <c r="R29" s="353"/>
      <c r="S29" s="353"/>
      <c r="T29" s="353"/>
      <c r="U29" s="356">
        <v>0</v>
      </c>
      <c r="V29" s="357"/>
      <c r="W29" s="358"/>
      <c r="X29" s="350" t="s">
        <v>266</v>
      </c>
      <c r="Y29" s="353"/>
      <c r="Z29" s="353"/>
      <c r="AA29" s="353"/>
      <c r="AB29" s="353" t="s">
        <v>210</v>
      </c>
      <c r="AC29" s="353"/>
      <c r="AD29" s="353"/>
      <c r="AE29" s="353"/>
      <c r="AF29" s="353" t="s">
        <v>219</v>
      </c>
      <c r="AG29" s="353"/>
      <c r="AH29" s="353"/>
      <c r="AI29" s="353"/>
      <c r="AJ29" s="362"/>
      <c r="AK29" s="362"/>
      <c r="AL29" s="362"/>
      <c r="AM29" s="362"/>
      <c r="AN29" s="362"/>
      <c r="AO29" s="362"/>
      <c r="AP29" s="362"/>
      <c r="AQ29" s="362"/>
      <c r="AR29" s="362"/>
      <c r="AS29" s="362"/>
      <c r="AT29" s="362"/>
      <c r="AU29" s="362"/>
      <c r="AV29" s="362"/>
      <c r="AW29" s="362"/>
      <c r="AX29" s="362"/>
      <c r="AY29" s="362"/>
    </row>
    <row r="30" spans="1:51">
      <c r="A30" s="300">
        <f t="shared" si="0"/>
        <v>23</v>
      </c>
      <c r="B30" s="301" t="s">
        <v>32</v>
      </c>
      <c r="C30" s="301" t="s">
        <v>33</v>
      </c>
      <c r="D30" s="301" t="s">
        <v>34</v>
      </c>
      <c r="E30" s="302" t="s">
        <v>262</v>
      </c>
      <c r="F30" s="301"/>
      <c r="G30" s="301"/>
      <c r="H30" s="301"/>
      <c r="I30" s="303">
        <v>43747</v>
      </c>
      <c r="J30" s="304" t="s">
        <v>271</v>
      </c>
      <c r="K30" s="303"/>
      <c r="L30" s="304"/>
      <c r="M30" s="367"/>
      <c r="N30" s="355" t="s">
        <v>230</v>
      </c>
      <c r="O30" s="346"/>
      <c r="P30" s="347"/>
      <c r="Q30" s="353" t="s">
        <v>219</v>
      </c>
      <c r="R30" s="353"/>
      <c r="S30" s="353"/>
      <c r="T30" s="353"/>
      <c r="U30" s="356" t="s">
        <v>219</v>
      </c>
      <c r="V30" s="357"/>
      <c r="W30" s="358"/>
      <c r="X30" s="350" t="s">
        <v>219</v>
      </c>
      <c r="Y30" s="353"/>
      <c r="Z30" s="353"/>
      <c r="AA30" s="353"/>
      <c r="AB30" s="361" t="s">
        <v>217</v>
      </c>
      <c r="AC30" s="361"/>
      <c r="AD30" s="361"/>
      <c r="AE30" s="361"/>
      <c r="AF30" s="361" t="s">
        <v>204</v>
      </c>
      <c r="AG30" s="361"/>
      <c r="AH30" s="361"/>
      <c r="AI30" s="361"/>
      <c r="AJ30" s="362" t="s">
        <v>218</v>
      </c>
      <c r="AK30" s="362"/>
      <c r="AL30" s="362"/>
      <c r="AM30" s="362"/>
      <c r="AN30" s="362"/>
      <c r="AO30" s="362"/>
      <c r="AP30" s="362"/>
      <c r="AQ30" s="362"/>
      <c r="AR30" s="362"/>
      <c r="AS30" s="362"/>
      <c r="AT30" s="362"/>
      <c r="AU30" s="362"/>
      <c r="AV30" s="362"/>
      <c r="AW30" s="362"/>
      <c r="AX30" s="362"/>
      <c r="AY30" s="362"/>
    </row>
    <row r="31" spans="1:51">
      <c r="A31" s="300">
        <f t="shared" si="0"/>
        <v>24</v>
      </c>
      <c r="B31" s="301" t="s">
        <v>32</v>
      </c>
      <c r="C31" s="301" t="s">
        <v>33</v>
      </c>
      <c r="D31" s="301" t="s">
        <v>34</v>
      </c>
      <c r="E31" s="302" t="s">
        <v>262</v>
      </c>
      <c r="F31" s="301"/>
      <c r="G31" s="301"/>
      <c r="H31" s="301"/>
      <c r="I31" s="303">
        <v>43747</v>
      </c>
      <c r="J31" s="304" t="s">
        <v>271</v>
      </c>
      <c r="K31" s="303"/>
      <c r="L31" s="304"/>
      <c r="M31" s="367"/>
      <c r="N31" s="368"/>
      <c r="O31" s="369" t="s">
        <v>81</v>
      </c>
      <c r="P31" s="370"/>
      <c r="Q31" s="372" t="s">
        <v>231</v>
      </c>
      <c r="R31" s="373"/>
      <c r="S31" s="373"/>
      <c r="T31" s="373"/>
      <c r="U31" s="406" t="s">
        <v>267</v>
      </c>
      <c r="V31" s="407"/>
      <c r="W31" s="408"/>
      <c r="X31" s="374" t="s">
        <v>232</v>
      </c>
      <c r="Y31" s="375"/>
      <c r="Z31" s="375"/>
      <c r="AA31" s="375"/>
      <c r="AB31" s="353" t="s">
        <v>210</v>
      </c>
      <c r="AC31" s="353"/>
      <c r="AD31" s="353"/>
      <c r="AE31" s="353"/>
      <c r="AF31" s="353" t="s">
        <v>219</v>
      </c>
      <c r="AG31" s="353"/>
      <c r="AH31" s="353"/>
      <c r="AI31" s="353"/>
      <c r="AJ31" s="362"/>
      <c r="AK31" s="362"/>
      <c r="AL31" s="362"/>
      <c r="AM31" s="362"/>
      <c r="AN31" s="362"/>
      <c r="AO31" s="362"/>
      <c r="AP31" s="362"/>
      <c r="AQ31" s="362"/>
      <c r="AR31" s="362"/>
      <c r="AS31" s="362"/>
      <c r="AT31" s="362"/>
      <c r="AU31" s="362"/>
      <c r="AV31" s="362"/>
      <c r="AW31" s="362"/>
      <c r="AX31" s="362"/>
      <c r="AY31" s="362"/>
    </row>
    <row r="32" spans="1:51">
      <c r="A32" s="300">
        <f t="shared" si="0"/>
        <v>25</v>
      </c>
      <c r="B32" s="301" t="s">
        <v>32</v>
      </c>
      <c r="C32" s="301" t="s">
        <v>33</v>
      </c>
      <c r="D32" s="301" t="s">
        <v>34</v>
      </c>
      <c r="E32" s="302" t="s">
        <v>262</v>
      </c>
      <c r="F32" s="301"/>
      <c r="G32" s="301"/>
      <c r="H32" s="301"/>
      <c r="I32" s="303">
        <v>43747</v>
      </c>
      <c r="J32" s="304" t="s">
        <v>271</v>
      </c>
      <c r="K32" s="303"/>
      <c r="L32" s="304"/>
      <c r="M32" s="367"/>
      <c r="N32" s="371"/>
      <c r="O32" s="369" t="s">
        <v>221</v>
      </c>
      <c r="P32" s="370"/>
      <c r="Q32" s="372" t="s">
        <v>231</v>
      </c>
      <c r="R32" s="373"/>
      <c r="S32" s="373"/>
      <c r="T32" s="373"/>
      <c r="U32" s="406" t="s">
        <v>267</v>
      </c>
      <c r="V32" s="407"/>
      <c r="W32" s="408"/>
      <c r="X32" s="374" t="s">
        <v>232</v>
      </c>
      <c r="Y32" s="375"/>
      <c r="Z32" s="375"/>
      <c r="AA32" s="375"/>
      <c r="AB32" s="353" t="s">
        <v>210</v>
      </c>
      <c r="AC32" s="353"/>
      <c r="AD32" s="353"/>
      <c r="AE32" s="353"/>
      <c r="AF32" s="353" t="s">
        <v>219</v>
      </c>
      <c r="AG32" s="353"/>
      <c r="AH32" s="353"/>
      <c r="AI32" s="353"/>
      <c r="AJ32" s="362"/>
      <c r="AK32" s="362"/>
      <c r="AL32" s="362"/>
      <c r="AM32" s="362"/>
      <c r="AN32" s="362"/>
      <c r="AO32" s="362"/>
      <c r="AP32" s="362"/>
      <c r="AQ32" s="362"/>
      <c r="AR32" s="362"/>
      <c r="AS32" s="362"/>
      <c r="AT32" s="362"/>
      <c r="AU32" s="362"/>
      <c r="AV32" s="362"/>
      <c r="AW32" s="362"/>
      <c r="AX32" s="362"/>
      <c r="AY32" s="362"/>
    </row>
    <row r="33" spans="1:51">
      <c r="A33" s="300">
        <f t="shared" si="0"/>
        <v>26</v>
      </c>
      <c r="B33" s="301" t="s">
        <v>32</v>
      </c>
      <c r="C33" s="301" t="s">
        <v>33</v>
      </c>
      <c r="D33" s="301" t="s">
        <v>34</v>
      </c>
      <c r="E33" s="302" t="s">
        <v>262</v>
      </c>
      <c r="F33" s="301"/>
      <c r="G33" s="301"/>
      <c r="H33" s="301"/>
      <c r="I33" s="303">
        <v>43747</v>
      </c>
      <c r="J33" s="304" t="s">
        <v>271</v>
      </c>
      <c r="K33" s="303"/>
      <c r="L33" s="304"/>
      <c r="M33" s="367"/>
      <c r="N33" s="355" t="s">
        <v>233</v>
      </c>
      <c r="O33" s="346"/>
      <c r="P33" s="347"/>
      <c r="Q33" s="353" t="s">
        <v>219</v>
      </c>
      <c r="R33" s="353"/>
      <c r="S33" s="353"/>
      <c r="T33" s="353"/>
      <c r="U33" s="356" t="s">
        <v>219</v>
      </c>
      <c r="V33" s="357"/>
      <c r="W33" s="358"/>
      <c r="X33" s="350" t="s">
        <v>219</v>
      </c>
      <c r="Y33" s="353"/>
      <c r="Z33" s="353"/>
      <c r="AA33" s="353"/>
      <c r="AB33" s="361" t="s">
        <v>217</v>
      </c>
      <c r="AC33" s="361"/>
      <c r="AD33" s="361"/>
      <c r="AE33" s="361"/>
      <c r="AF33" s="361" t="s">
        <v>204</v>
      </c>
      <c r="AG33" s="361"/>
      <c r="AH33" s="361"/>
      <c r="AI33" s="361"/>
      <c r="AJ33" s="362" t="s">
        <v>218</v>
      </c>
      <c r="AK33" s="362"/>
      <c r="AL33" s="362"/>
      <c r="AM33" s="362"/>
      <c r="AN33" s="362"/>
      <c r="AO33" s="362"/>
      <c r="AP33" s="362"/>
      <c r="AQ33" s="362"/>
      <c r="AR33" s="362"/>
      <c r="AS33" s="362"/>
      <c r="AT33" s="362"/>
      <c r="AU33" s="362"/>
      <c r="AV33" s="362"/>
      <c r="AW33" s="362"/>
      <c r="AX33" s="362"/>
      <c r="AY33" s="362"/>
    </row>
    <row r="34" spans="1:51">
      <c r="A34" s="300">
        <f t="shared" si="0"/>
        <v>27</v>
      </c>
      <c r="B34" s="301" t="s">
        <v>32</v>
      </c>
      <c r="C34" s="301" t="s">
        <v>33</v>
      </c>
      <c r="D34" s="301" t="s">
        <v>34</v>
      </c>
      <c r="E34" s="302" t="s">
        <v>262</v>
      </c>
      <c r="F34" s="301"/>
      <c r="G34" s="301"/>
      <c r="H34" s="301"/>
      <c r="I34" s="303">
        <v>43747</v>
      </c>
      <c r="J34" s="304" t="s">
        <v>271</v>
      </c>
      <c r="K34" s="303"/>
      <c r="L34" s="304"/>
      <c r="M34" s="367"/>
      <c r="N34" s="368"/>
      <c r="O34" s="369" t="s">
        <v>81</v>
      </c>
      <c r="P34" s="370"/>
      <c r="Q34" s="372" t="s">
        <v>270</v>
      </c>
      <c r="R34" s="373"/>
      <c r="S34" s="373"/>
      <c r="T34" s="373"/>
      <c r="U34" s="406" t="s">
        <v>268</v>
      </c>
      <c r="V34" s="407"/>
      <c r="W34" s="408"/>
      <c r="X34" s="374" t="s">
        <v>269</v>
      </c>
      <c r="Y34" s="375"/>
      <c r="Z34" s="375"/>
      <c r="AA34" s="375"/>
      <c r="AB34" s="353" t="s">
        <v>210</v>
      </c>
      <c r="AC34" s="353"/>
      <c r="AD34" s="353"/>
      <c r="AE34" s="353"/>
      <c r="AF34" s="353" t="s">
        <v>219</v>
      </c>
      <c r="AG34" s="353"/>
      <c r="AH34" s="353"/>
      <c r="AI34" s="353"/>
      <c r="AJ34" s="362"/>
      <c r="AK34" s="362"/>
      <c r="AL34" s="362"/>
      <c r="AM34" s="362"/>
      <c r="AN34" s="362"/>
      <c r="AO34" s="362"/>
      <c r="AP34" s="362"/>
      <c r="AQ34" s="362"/>
      <c r="AR34" s="362"/>
      <c r="AS34" s="362"/>
      <c r="AT34" s="362"/>
      <c r="AU34" s="362"/>
      <c r="AV34" s="362"/>
      <c r="AW34" s="362"/>
      <c r="AX34" s="362"/>
      <c r="AY34" s="362"/>
    </row>
    <row r="35" spans="1:51">
      <c r="A35" s="300">
        <f t="shared" si="0"/>
        <v>28</v>
      </c>
      <c r="B35" s="301" t="s">
        <v>32</v>
      </c>
      <c r="C35" s="301" t="s">
        <v>33</v>
      </c>
      <c r="D35" s="301" t="s">
        <v>34</v>
      </c>
      <c r="E35" s="302" t="s">
        <v>262</v>
      </c>
      <c r="F35" s="301"/>
      <c r="G35" s="301"/>
      <c r="H35" s="301"/>
      <c r="I35" s="303">
        <v>43747</v>
      </c>
      <c r="J35" s="304" t="s">
        <v>271</v>
      </c>
      <c r="K35" s="303"/>
      <c r="L35" s="304"/>
      <c r="M35" s="376"/>
      <c r="N35" s="371"/>
      <c r="O35" s="369" t="s">
        <v>221</v>
      </c>
      <c r="P35" s="370"/>
      <c r="Q35" s="372" t="s">
        <v>270</v>
      </c>
      <c r="R35" s="373"/>
      <c r="S35" s="373"/>
      <c r="T35" s="373"/>
      <c r="U35" s="406" t="s">
        <v>268</v>
      </c>
      <c r="V35" s="407"/>
      <c r="W35" s="408"/>
      <c r="X35" s="374" t="s">
        <v>269</v>
      </c>
      <c r="Y35" s="375"/>
      <c r="Z35" s="375"/>
      <c r="AA35" s="375"/>
      <c r="AB35" s="353" t="s">
        <v>210</v>
      </c>
      <c r="AC35" s="353"/>
      <c r="AD35" s="353"/>
      <c r="AE35" s="353"/>
      <c r="AF35" s="353" t="s">
        <v>219</v>
      </c>
      <c r="AG35" s="353"/>
      <c r="AH35" s="353"/>
      <c r="AI35" s="353"/>
      <c r="AJ35" s="362"/>
      <c r="AK35" s="362"/>
      <c r="AL35" s="362"/>
      <c r="AM35" s="362"/>
      <c r="AN35" s="362"/>
      <c r="AO35" s="362"/>
      <c r="AP35" s="362"/>
      <c r="AQ35" s="362"/>
      <c r="AR35" s="362"/>
      <c r="AS35" s="362"/>
      <c r="AT35" s="362"/>
      <c r="AU35" s="362"/>
      <c r="AV35" s="362"/>
      <c r="AW35" s="362"/>
      <c r="AX35" s="362"/>
      <c r="AY35" s="362"/>
    </row>
  </sheetData>
  <mergeCells count="176">
    <mergeCell ref="Q35:T35"/>
    <mergeCell ref="U35:W35"/>
    <mergeCell ref="X35:AA35"/>
    <mergeCell ref="AB35:AE35"/>
    <mergeCell ref="AF35:AI35"/>
    <mergeCell ref="AJ35:AY35"/>
    <mergeCell ref="Q34:T34"/>
    <mergeCell ref="U34:W34"/>
    <mergeCell ref="X34:AA34"/>
    <mergeCell ref="AB34:AE34"/>
    <mergeCell ref="AF34:AI34"/>
    <mergeCell ref="AJ34:AY34"/>
    <mergeCell ref="Q33:T33"/>
    <mergeCell ref="U33:W33"/>
    <mergeCell ref="X33:AA33"/>
    <mergeCell ref="AB33:AE33"/>
    <mergeCell ref="AF33:AI33"/>
    <mergeCell ref="AJ33:AY33"/>
    <mergeCell ref="Q32:T32"/>
    <mergeCell ref="U32:W32"/>
    <mergeCell ref="X32:AA32"/>
    <mergeCell ref="AB32:AE32"/>
    <mergeCell ref="AF32:AI32"/>
    <mergeCell ref="AJ32:AY32"/>
    <mergeCell ref="Q31:T31"/>
    <mergeCell ref="U31:W31"/>
    <mergeCell ref="X31:AA31"/>
    <mergeCell ref="AB31:AE31"/>
    <mergeCell ref="AF31:AI31"/>
    <mergeCell ref="AJ31:AY31"/>
    <mergeCell ref="Q30:T30"/>
    <mergeCell ref="U30:W30"/>
    <mergeCell ref="X30:AA30"/>
    <mergeCell ref="AB30:AE30"/>
    <mergeCell ref="AF30:AI30"/>
    <mergeCell ref="AJ30:AY30"/>
    <mergeCell ref="Q29:T29"/>
    <mergeCell ref="U29:W29"/>
    <mergeCell ref="X29:AA29"/>
    <mergeCell ref="AB29:AE29"/>
    <mergeCell ref="AF29:AI29"/>
    <mergeCell ref="AJ29:AY29"/>
    <mergeCell ref="Q28:T28"/>
    <mergeCell ref="U28:W28"/>
    <mergeCell ref="X28:AA28"/>
    <mergeCell ref="AB28:AE28"/>
    <mergeCell ref="AF28:AI28"/>
    <mergeCell ref="AJ28:AY28"/>
    <mergeCell ref="Q27:T27"/>
    <mergeCell ref="U27:W27"/>
    <mergeCell ref="X27:AA27"/>
    <mergeCell ref="AB27:AE27"/>
    <mergeCell ref="AF27:AI27"/>
    <mergeCell ref="AJ27:AY27"/>
    <mergeCell ref="Q26:T26"/>
    <mergeCell ref="U26:W26"/>
    <mergeCell ref="X26:AA26"/>
    <mergeCell ref="AB26:AE26"/>
    <mergeCell ref="AF26:AI26"/>
    <mergeCell ref="AJ26:AY26"/>
    <mergeCell ref="Q25:T25"/>
    <mergeCell ref="U25:W25"/>
    <mergeCell ref="X25:AA25"/>
    <mergeCell ref="AB25:AE25"/>
    <mergeCell ref="AF25:AI25"/>
    <mergeCell ref="AJ25:AY25"/>
    <mergeCell ref="Q24:T24"/>
    <mergeCell ref="U24:W24"/>
    <mergeCell ref="X24:AA24"/>
    <mergeCell ref="AB24:AE24"/>
    <mergeCell ref="AF24:AI24"/>
    <mergeCell ref="AJ24:AY24"/>
    <mergeCell ref="Q23:T23"/>
    <mergeCell ref="U23:W23"/>
    <mergeCell ref="X23:AA23"/>
    <mergeCell ref="AB23:AE23"/>
    <mergeCell ref="AF23:AI23"/>
    <mergeCell ref="AJ23:AY23"/>
    <mergeCell ref="Q22:T22"/>
    <mergeCell ref="U22:W22"/>
    <mergeCell ref="X22:AA22"/>
    <mergeCell ref="AB22:AE22"/>
    <mergeCell ref="AF22:AI22"/>
    <mergeCell ref="AJ22:AY22"/>
    <mergeCell ref="Q21:T21"/>
    <mergeCell ref="U21:W21"/>
    <mergeCell ref="X21:AA21"/>
    <mergeCell ref="AB21:AE21"/>
    <mergeCell ref="AF21:AI21"/>
    <mergeCell ref="AJ21:AY21"/>
    <mergeCell ref="Q20:T20"/>
    <mergeCell ref="U20:W20"/>
    <mergeCell ref="X20:AA20"/>
    <mergeCell ref="AB20:AE20"/>
    <mergeCell ref="AF20:AI20"/>
    <mergeCell ref="AJ20:AY20"/>
    <mergeCell ref="Q19:T19"/>
    <mergeCell ref="U19:W19"/>
    <mergeCell ref="X19:AA19"/>
    <mergeCell ref="AB19:AE19"/>
    <mergeCell ref="AF19:AI19"/>
    <mergeCell ref="AJ19:AY19"/>
    <mergeCell ref="Q18:T18"/>
    <mergeCell ref="U18:W18"/>
    <mergeCell ref="X18:AA18"/>
    <mergeCell ref="AB18:AE18"/>
    <mergeCell ref="AF18:AI18"/>
    <mergeCell ref="AJ18:AY18"/>
    <mergeCell ref="Q17:T17"/>
    <mergeCell ref="U17:W17"/>
    <mergeCell ref="X17:AA17"/>
    <mergeCell ref="AB17:AE17"/>
    <mergeCell ref="AF17:AI17"/>
    <mergeCell ref="AJ17:AY17"/>
    <mergeCell ref="AJ15:AY15"/>
    <mergeCell ref="Q16:T16"/>
    <mergeCell ref="U16:W16"/>
    <mergeCell ref="X16:AA16"/>
    <mergeCell ref="AB16:AE16"/>
    <mergeCell ref="AF16:AI16"/>
    <mergeCell ref="AJ16:AY16"/>
    <mergeCell ref="Q14:T14"/>
    <mergeCell ref="X14:AA14"/>
    <mergeCell ref="AB14:AE14"/>
    <mergeCell ref="AF14:AI14"/>
    <mergeCell ref="AJ14:AY14"/>
    <mergeCell ref="Q15:T15"/>
    <mergeCell ref="U15:W15"/>
    <mergeCell ref="X15:AA15"/>
    <mergeCell ref="AB15:AE15"/>
    <mergeCell ref="AF15:AI15"/>
    <mergeCell ref="Q13:T13"/>
    <mergeCell ref="U13:W13"/>
    <mergeCell ref="X13:AA13"/>
    <mergeCell ref="AB13:AE13"/>
    <mergeCell ref="AF13:AI13"/>
    <mergeCell ref="AJ13:AY13"/>
    <mergeCell ref="Q12:T12"/>
    <mergeCell ref="U12:W12"/>
    <mergeCell ref="X12:AA12"/>
    <mergeCell ref="AB12:AE12"/>
    <mergeCell ref="AF12:AI12"/>
    <mergeCell ref="AJ12:AY12"/>
    <mergeCell ref="AJ10:AY10"/>
    <mergeCell ref="Q11:T11"/>
    <mergeCell ref="U11:W11"/>
    <mergeCell ref="X11:AA11"/>
    <mergeCell ref="AB11:AE11"/>
    <mergeCell ref="AF11:AI11"/>
    <mergeCell ref="AJ11:AY11"/>
    <mergeCell ref="Q9:T9"/>
    <mergeCell ref="X9:AA9"/>
    <mergeCell ref="AB9:AE9"/>
    <mergeCell ref="AF9:AI9"/>
    <mergeCell ref="AJ9:AY9"/>
    <mergeCell ref="Q10:T10"/>
    <mergeCell ref="U10:W10"/>
    <mergeCell ref="X10:AA10"/>
    <mergeCell ref="AB10:AE10"/>
    <mergeCell ref="AF10:AI10"/>
    <mergeCell ref="F4:F8"/>
    <mergeCell ref="G4:G8"/>
    <mergeCell ref="H4:H8"/>
    <mergeCell ref="Q4:T8"/>
    <mergeCell ref="U4:W8"/>
    <mergeCell ref="X4:AA8"/>
    <mergeCell ref="E1:L2"/>
    <mergeCell ref="M1:P8"/>
    <mergeCell ref="Q1:AY2"/>
    <mergeCell ref="E3:F3"/>
    <mergeCell ref="G3:H3"/>
    <mergeCell ref="Q3:AA3"/>
    <mergeCell ref="AB3:AE8"/>
    <mergeCell ref="AF3:AI8"/>
    <mergeCell ref="AJ3:AY8"/>
    <mergeCell ref="E4:E8"/>
  </mergeCells>
  <phoneticPr fontId="5"/>
  <conditionalFormatting sqref="A9:AY9 C14:AY14 M16:M34 A10:B35">
    <cfRule type="expression" dxfId="319" priority="156" stopIfTrue="1">
      <formula>$B9="×"</formula>
    </cfRule>
  </conditionalFormatting>
  <conditionalFormatting sqref="G9:H9">
    <cfRule type="cellIs" dxfId="318" priority="155" stopIfTrue="1" operator="equal">
      <formula>"異"</formula>
    </cfRule>
  </conditionalFormatting>
  <conditionalFormatting sqref="D9">
    <cfRule type="cellIs" dxfId="317" priority="154" stopIfTrue="1" operator="equal">
      <formula>"異常系"</formula>
    </cfRule>
  </conditionalFormatting>
  <conditionalFormatting sqref="E9">
    <cfRule type="cellIs" dxfId="316" priority="153" stopIfTrue="1" operator="equal">
      <formula>"NG"</formula>
    </cfRule>
  </conditionalFormatting>
  <conditionalFormatting sqref="B10:L10 C17:D17 F17:H17 K17:L17">
    <cfRule type="expression" dxfId="315" priority="152" stopIfTrue="1">
      <formula>$B10="×"</formula>
    </cfRule>
  </conditionalFormatting>
  <conditionalFormatting sqref="G10:H10 G17:H17">
    <cfRule type="cellIs" dxfId="314" priority="151" stopIfTrue="1" operator="equal">
      <formula>"異"</formula>
    </cfRule>
  </conditionalFormatting>
  <conditionalFormatting sqref="D10 D17">
    <cfRule type="cellIs" dxfId="313" priority="150" stopIfTrue="1" operator="equal">
      <formula>"異常系"</formula>
    </cfRule>
  </conditionalFormatting>
  <conditionalFormatting sqref="E10">
    <cfRule type="cellIs" dxfId="312" priority="149" stopIfTrue="1" operator="equal">
      <formula>"NG"</formula>
    </cfRule>
  </conditionalFormatting>
  <conditionalFormatting sqref="C16:D16 F16:H16 K16:L16">
    <cfRule type="expression" dxfId="311" priority="148" stopIfTrue="1">
      <formula>$B16="×"</formula>
    </cfRule>
  </conditionalFormatting>
  <conditionalFormatting sqref="G16:H16">
    <cfRule type="cellIs" dxfId="310" priority="147" stopIfTrue="1" operator="equal">
      <formula>"異"</formula>
    </cfRule>
  </conditionalFormatting>
  <conditionalFormatting sqref="D16">
    <cfRule type="cellIs" dxfId="309" priority="146" stopIfTrue="1" operator="equal">
      <formula>"異常系"</formula>
    </cfRule>
  </conditionalFormatting>
  <conditionalFormatting sqref="N16:P16">
    <cfRule type="expression" dxfId="308" priority="142" stopIfTrue="1">
      <formula>$B16="×"</formula>
    </cfRule>
  </conditionalFormatting>
  <conditionalFormatting sqref="B11:D11 F11:H11 J11:L11">
    <cfRule type="expression" dxfId="307" priority="141" stopIfTrue="1">
      <formula>$B11="×"</formula>
    </cfRule>
  </conditionalFormatting>
  <conditionalFormatting sqref="N10:P10">
    <cfRule type="expression" dxfId="306" priority="143" stopIfTrue="1">
      <formula>$B10="×"</formula>
    </cfRule>
  </conditionalFormatting>
  <conditionalFormatting sqref="N17:P17 M10">
    <cfRule type="expression" dxfId="305" priority="144" stopIfTrue="1">
      <formula>$B10="×"</formula>
    </cfRule>
  </conditionalFormatting>
  <conditionalFormatting sqref="G11:H11">
    <cfRule type="cellIs" dxfId="304" priority="140" stopIfTrue="1" operator="equal">
      <formula>"異"</formula>
    </cfRule>
  </conditionalFormatting>
  <conditionalFormatting sqref="D11">
    <cfRule type="cellIs" dxfId="303" priority="139" stopIfTrue="1" operator="equal">
      <formula>"異常系"</formula>
    </cfRule>
  </conditionalFormatting>
  <conditionalFormatting sqref="N11:P11">
    <cfRule type="expression" dxfId="302" priority="136" stopIfTrue="1">
      <formula>$B11="×"</formula>
    </cfRule>
  </conditionalFormatting>
  <conditionalFormatting sqref="M11">
    <cfRule type="expression" dxfId="301" priority="137" stopIfTrue="1">
      <formula>$B11="×"</formula>
    </cfRule>
  </conditionalFormatting>
  <conditionalFormatting sqref="G12:H13">
    <cfRule type="cellIs" dxfId="300" priority="135" stopIfTrue="1" operator="equal">
      <formula>"異"</formula>
    </cfRule>
  </conditionalFormatting>
  <conditionalFormatting sqref="D12:D13">
    <cfRule type="cellIs" dxfId="299" priority="134" stopIfTrue="1" operator="equal">
      <formula>"異常系"</formula>
    </cfRule>
  </conditionalFormatting>
  <conditionalFormatting sqref="C20:D20 F20:H20 K20:L20">
    <cfRule type="expression" dxfId="298" priority="132" stopIfTrue="1">
      <formula>$B20="×"</formula>
    </cfRule>
  </conditionalFormatting>
  <conditionalFormatting sqref="G20:H20">
    <cfRule type="cellIs" dxfId="297" priority="131" stopIfTrue="1" operator="equal">
      <formula>"異"</formula>
    </cfRule>
  </conditionalFormatting>
  <conditionalFormatting sqref="D20">
    <cfRule type="cellIs" dxfId="296" priority="130" stopIfTrue="1" operator="equal">
      <formula>"異常系"</formula>
    </cfRule>
  </conditionalFormatting>
  <conditionalFormatting sqref="C19:D19 F19:H19 K19:L19">
    <cfRule type="expression" dxfId="295" priority="128" stopIfTrue="1">
      <formula>$B19="×"</formula>
    </cfRule>
  </conditionalFormatting>
  <conditionalFormatting sqref="G19:H19">
    <cfRule type="cellIs" dxfId="294" priority="127" stopIfTrue="1" operator="equal">
      <formula>"異"</formula>
    </cfRule>
  </conditionalFormatting>
  <conditionalFormatting sqref="D19">
    <cfRule type="cellIs" dxfId="293" priority="126" stopIfTrue="1" operator="equal">
      <formula>"異常系"</formula>
    </cfRule>
  </conditionalFormatting>
  <conditionalFormatting sqref="O20:P20">
    <cfRule type="expression" dxfId="292" priority="124" stopIfTrue="1">
      <formula>$B20="×"</formula>
    </cfRule>
  </conditionalFormatting>
  <conditionalFormatting sqref="O19:P19">
    <cfRule type="expression" dxfId="291" priority="123" stopIfTrue="1">
      <formula>$B19="×"</formula>
    </cfRule>
  </conditionalFormatting>
  <conditionalFormatting sqref="C23:D23 F23:H23 K23:L23">
    <cfRule type="expression" dxfId="290" priority="122" stopIfTrue="1">
      <formula>$B23="×"</formula>
    </cfRule>
  </conditionalFormatting>
  <conditionalFormatting sqref="G23:H23">
    <cfRule type="cellIs" dxfId="289" priority="121" stopIfTrue="1" operator="equal">
      <formula>"異"</formula>
    </cfRule>
  </conditionalFormatting>
  <conditionalFormatting sqref="D23">
    <cfRule type="cellIs" dxfId="288" priority="120" stopIfTrue="1" operator="equal">
      <formula>"異常系"</formula>
    </cfRule>
  </conditionalFormatting>
  <conditionalFormatting sqref="C22:D22 F22:H22 K22:L22">
    <cfRule type="expression" dxfId="287" priority="118" stopIfTrue="1">
      <formula>$B22="×"</formula>
    </cfRule>
  </conditionalFormatting>
  <conditionalFormatting sqref="G22:H22">
    <cfRule type="cellIs" dxfId="286" priority="117" stopIfTrue="1" operator="equal">
      <formula>"異"</formula>
    </cfRule>
  </conditionalFormatting>
  <conditionalFormatting sqref="D22">
    <cfRule type="cellIs" dxfId="285" priority="116" stopIfTrue="1" operator="equal">
      <formula>"異常系"</formula>
    </cfRule>
  </conditionalFormatting>
  <conditionalFormatting sqref="O23:P23">
    <cfRule type="expression" dxfId="284" priority="114" stopIfTrue="1">
      <formula>$B23="×"</formula>
    </cfRule>
  </conditionalFormatting>
  <conditionalFormatting sqref="O22:P22">
    <cfRule type="expression" dxfId="283" priority="113" stopIfTrue="1">
      <formula>$B22="×"</formula>
    </cfRule>
  </conditionalFormatting>
  <conditionalFormatting sqref="C26:D26 F26:H26 K26:L26">
    <cfRule type="expression" dxfId="282" priority="112" stopIfTrue="1">
      <formula>$B26="×"</formula>
    </cfRule>
  </conditionalFormatting>
  <conditionalFormatting sqref="G26:H26">
    <cfRule type="cellIs" dxfId="281" priority="111" stopIfTrue="1" operator="equal">
      <formula>"異"</formula>
    </cfRule>
  </conditionalFormatting>
  <conditionalFormatting sqref="D26">
    <cfRule type="cellIs" dxfId="280" priority="110" stopIfTrue="1" operator="equal">
      <formula>"異常系"</formula>
    </cfRule>
  </conditionalFormatting>
  <conditionalFormatting sqref="C25:D25 F25:H25 K25:L25">
    <cfRule type="expression" dxfId="279" priority="108" stopIfTrue="1">
      <formula>$B25="×"</formula>
    </cfRule>
  </conditionalFormatting>
  <conditionalFormatting sqref="G25:H25">
    <cfRule type="cellIs" dxfId="278" priority="107" stopIfTrue="1" operator="equal">
      <formula>"異"</formula>
    </cfRule>
  </conditionalFormatting>
  <conditionalFormatting sqref="D25">
    <cfRule type="cellIs" dxfId="277" priority="106" stopIfTrue="1" operator="equal">
      <formula>"異常系"</formula>
    </cfRule>
  </conditionalFormatting>
  <conditionalFormatting sqref="O26:P26">
    <cfRule type="expression" dxfId="276" priority="104" stopIfTrue="1">
      <formula>$B26="×"</formula>
    </cfRule>
  </conditionalFormatting>
  <conditionalFormatting sqref="O25:P25">
    <cfRule type="expression" dxfId="275" priority="103" stopIfTrue="1">
      <formula>$B25="×"</formula>
    </cfRule>
  </conditionalFormatting>
  <conditionalFormatting sqref="C29:D29 F29:H29 K29:L29">
    <cfRule type="expression" dxfId="274" priority="102" stopIfTrue="1">
      <formula>$B29="×"</formula>
    </cfRule>
  </conditionalFormatting>
  <conditionalFormatting sqref="G29:H29">
    <cfRule type="cellIs" dxfId="273" priority="101" stopIfTrue="1" operator="equal">
      <formula>"異"</formula>
    </cfRule>
  </conditionalFormatting>
  <conditionalFormatting sqref="D29">
    <cfRule type="cellIs" dxfId="272" priority="100" stopIfTrue="1" operator="equal">
      <formula>"異常系"</formula>
    </cfRule>
  </conditionalFormatting>
  <conditionalFormatting sqref="C28:D28 F28:H28 K28:L28">
    <cfRule type="expression" dxfId="271" priority="98" stopIfTrue="1">
      <formula>$B28="×"</formula>
    </cfRule>
  </conditionalFormatting>
  <conditionalFormatting sqref="G28:H28">
    <cfRule type="cellIs" dxfId="270" priority="97" stopIfTrue="1" operator="equal">
      <formula>"異"</formula>
    </cfRule>
  </conditionalFormatting>
  <conditionalFormatting sqref="D28">
    <cfRule type="cellIs" dxfId="269" priority="96" stopIfTrue="1" operator="equal">
      <formula>"異常系"</formula>
    </cfRule>
  </conditionalFormatting>
  <conditionalFormatting sqref="O29:P29">
    <cfRule type="expression" dxfId="268" priority="94" stopIfTrue="1">
      <formula>$B29="×"</formula>
    </cfRule>
  </conditionalFormatting>
  <conditionalFormatting sqref="O28:P28">
    <cfRule type="expression" dxfId="267" priority="93" stopIfTrue="1">
      <formula>$B28="×"</formula>
    </cfRule>
  </conditionalFormatting>
  <conditionalFormatting sqref="C15:H15 K15:P15">
    <cfRule type="expression" dxfId="266" priority="72" stopIfTrue="1">
      <formula>$B15="×"</formula>
    </cfRule>
  </conditionalFormatting>
  <conditionalFormatting sqref="C32:D32 F32:H32 K32:L32">
    <cfRule type="expression" dxfId="265" priority="92" stopIfTrue="1">
      <formula>$B32="×"</formula>
    </cfRule>
  </conditionalFormatting>
  <conditionalFormatting sqref="G32:H32">
    <cfRule type="cellIs" dxfId="264" priority="91" stopIfTrue="1" operator="equal">
      <formula>"異"</formula>
    </cfRule>
  </conditionalFormatting>
  <conditionalFormatting sqref="D32">
    <cfRule type="cellIs" dxfId="263" priority="90" stopIfTrue="1" operator="equal">
      <formula>"異常系"</formula>
    </cfRule>
  </conditionalFormatting>
  <conditionalFormatting sqref="C31:D31 F31:H31 K31:L31">
    <cfRule type="expression" dxfId="262" priority="88" stopIfTrue="1">
      <formula>$B31="×"</formula>
    </cfRule>
  </conditionalFormatting>
  <conditionalFormatting sqref="G31:H31">
    <cfRule type="cellIs" dxfId="261" priority="87" stopIfTrue="1" operator="equal">
      <formula>"異"</formula>
    </cfRule>
  </conditionalFormatting>
  <conditionalFormatting sqref="D31">
    <cfRule type="cellIs" dxfId="260" priority="86" stopIfTrue="1" operator="equal">
      <formula>"異常系"</formula>
    </cfRule>
  </conditionalFormatting>
  <conditionalFormatting sqref="O32:P32">
    <cfRule type="expression" dxfId="259" priority="84" stopIfTrue="1">
      <formula>$B32="×"</formula>
    </cfRule>
  </conditionalFormatting>
  <conditionalFormatting sqref="O31:P31">
    <cfRule type="expression" dxfId="258" priority="83" stopIfTrue="1">
      <formula>$B31="×"</formula>
    </cfRule>
  </conditionalFormatting>
  <conditionalFormatting sqref="C21:D21 O21:P21 F21:H21 K21:L21">
    <cfRule type="expression" dxfId="257" priority="64" stopIfTrue="1">
      <formula>$B21="×"</formula>
    </cfRule>
  </conditionalFormatting>
  <conditionalFormatting sqref="G21:H21">
    <cfRule type="cellIs" dxfId="256" priority="63" stopIfTrue="1" operator="equal">
      <formula>"異"</formula>
    </cfRule>
  </conditionalFormatting>
  <conditionalFormatting sqref="D21">
    <cfRule type="cellIs" dxfId="255" priority="62" stopIfTrue="1" operator="equal">
      <formula>"異常系"</formula>
    </cfRule>
  </conditionalFormatting>
  <conditionalFormatting sqref="C24:D24 O24:P24 F24:H24 K24:L24">
    <cfRule type="expression" dxfId="254" priority="60" stopIfTrue="1">
      <formula>$B24="×"</formula>
    </cfRule>
  </conditionalFormatting>
  <conditionalFormatting sqref="C35:D35 F35:H35 K35:L35">
    <cfRule type="expression" dxfId="253" priority="82" stopIfTrue="1">
      <formula>$B35="×"</formula>
    </cfRule>
  </conditionalFormatting>
  <conditionalFormatting sqref="G35:H35">
    <cfRule type="cellIs" dxfId="252" priority="81" stopIfTrue="1" operator="equal">
      <formula>"異"</formula>
    </cfRule>
  </conditionalFormatting>
  <conditionalFormatting sqref="D35">
    <cfRule type="cellIs" dxfId="251" priority="80" stopIfTrue="1" operator="equal">
      <formula>"異常系"</formula>
    </cfRule>
  </conditionalFormatting>
  <conditionalFormatting sqref="C34:D34 F34:H34 K34:L34">
    <cfRule type="expression" dxfId="250" priority="78" stopIfTrue="1">
      <formula>$B34="×"</formula>
    </cfRule>
  </conditionalFormatting>
  <conditionalFormatting sqref="G34:H34">
    <cfRule type="cellIs" dxfId="249" priority="77" stopIfTrue="1" operator="equal">
      <formula>"異"</formula>
    </cfRule>
  </conditionalFormatting>
  <conditionalFormatting sqref="D34">
    <cfRule type="cellIs" dxfId="248" priority="76" stopIfTrue="1" operator="equal">
      <formula>"異常系"</formula>
    </cfRule>
  </conditionalFormatting>
  <conditionalFormatting sqref="M35 O35:P35">
    <cfRule type="expression" dxfId="247" priority="74" stopIfTrue="1">
      <formula>$B35="×"</formula>
    </cfRule>
  </conditionalFormatting>
  <conditionalFormatting sqref="O34:P34">
    <cfRule type="expression" dxfId="246" priority="73" stopIfTrue="1">
      <formula>$B34="×"</formula>
    </cfRule>
  </conditionalFormatting>
  <conditionalFormatting sqref="G15:H15">
    <cfRule type="cellIs" dxfId="245" priority="71" stopIfTrue="1" operator="equal">
      <formula>"異"</formula>
    </cfRule>
  </conditionalFormatting>
  <conditionalFormatting sqref="D15">
    <cfRule type="cellIs" dxfId="244" priority="70" stopIfTrue="1" operator="equal">
      <formula>"異常系"</formula>
    </cfRule>
  </conditionalFormatting>
  <conditionalFormatting sqref="E15">
    <cfRule type="cellIs" dxfId="243" priority="69" stopIfTrue="1" operator="equal">
      <formula>"NG"</formula>
    </cfRule>
  </conditionalFormatting>
  <conditionalFormatting sqref="C18:D18 O18:P18 F18:H18 K18:L18">
    <cfRule type="expression" dxfId="242" priority="68" stopIfTrue="1">
      <formula>$B18="×"</formula>
    </cfRule>
  </conditionalFormatting>
  <conditionalFormatting sqref="G18:H18">
    <cfRule type="cellIs" dxfId="241" priority="67" stopIfTrue="1" operator="equal">
      <formula>"異"</formula>
    </cfRule>
  </conditionalFormatting>
  <conditionalFormatting sqref="D18">
    <cfRule type="cellIs" dxfId="240" priority="66" stopIfTrue="1" operator="equal">
      <formula>"異常系"</formula>
    </cfRule>
  </conditionalFormatting>
  <conditionalFormatting sqref="G24:H24">
    <cfRule type="cellIs" dxfId="239" priority="59" stopIfTrue="1" operator="equal">
      <formula>"異"</formula>
    </cfRule>
  </conditionalFormatting>
  <conditionalFormatting sqref="D24">
    <cfRule type="cellIs" dxfId="238" priority="58" stopIfTrue="1" operator="equal">
      <formula>"異常系"</formula>
    </cfRule>
  </conditionalFormatting>
  <conditionalFormatting sqref="C27:D27 O27:P27 F27:H27 K27:L27">
    <cfRule type="expression" dxfId="237" priority="56" stopIfTrue="1">
      <formula>$B27="×"</formula>
    </cfRule>
  </conditionalFormatting>
  <conditionalFormatting sqref="G27:H27">
    <cfRule type="cellIs" dxfId="236" priority="55" stopIfTrue="1" operator="equal">
      <formula>"異"</formula>
    </cfRule>
  </conditionalFormatting>
  <conditionalFormatting sqref="D27">
    <cfRule type="cellIs" dxfId="235" priority="54" stopIfTrue="1" operator="equal">
      <formula>"異常系"</formula>
    </cfRule>
  </conditionalFormatting>
  <conditionalFormatting sqref="C30:D30 O30:P30 F30:H30 K30:L30">
    <cfRule type="expression" dxfId="234" priority="52" stopIfTrue="1">
      <formula>$B30="×"</formula>
    </cfRule>
  </conditionalFormatting>
  <conditionalFormatting sqref="G30:H30">
    <cfRule type="cellIs" dxfId="233" priority="51" stopIfTrue="1" operator="equal">
      <formula>"異"</formula>
    </cfRule>
  </conditionalFormatting>
  <conditionalFormatting sqref="D30">
    <cfRule type="cellIs" dxfId="232" priority="50" stopIfTrue="1" operator="equal">
      <formula>"異常系"</formula>
    </cfRule>
  </conditionalFormatting>
  <conditionalFormatting sqref="C33:D33 O33:P33 F33:H33 K33:L33">
    <cfRule type="expression" dxfId="231" priority="48" stopIfTrue="1">
      <formula>$B33="×"</formula>
    </cfRule>
  </conditionalFormatting>
  <conditionalFormatting sqref="G33:H33">
    <cfRule type="cellIs" dxfId="230" priority="47" stopIfTrue="1" operator="equal">
      <formula>"異"</formula>
    </cfRule>
  </conditionalFormatting>
  <conditionalFormatting sqref="D33">
    <cfRule type="cellIs" dxfId="229" priority="46" stopIfTrue="1" operator="equal">
      <formula>"異常系"</formula>
    </cfRule>
  </conditionalFormatting>
  <conditionalFormatting sqref="G14:H14">
    <cfRule type="cellIs" dxfId="228" priority="44" stopIfTrue="1" operator="equal">
      <formula>"異"</formula>
    </cfRule>
  </conditionalFormatting>
  <conditionalFormatting sqref="D14">
    <cfRule type="cellIs" dxfId="227" priority="43" stopIfTrue="1" operator="equal">
      <formula>"異常系"</formula>
    </cfRule>
  </conditionalFormatting>
  <conditionalFormatting sqref="E14">
    <cfRule type="cellIs" dxfId="226" priority="42" stopIfTrue="1" operator="equal">
      <formula>"NG"</formula>
    </cfRule>
  </conditionalFormatting>
  <conditionalFormatting sqref="N19">
    <cfRule type="expression" dxfId="225" priority="40" stopIfTrue="1">
      <formula>$B19="×"</formula>
    </cfRule>
  </conditionalFormatting>
  <conditionalFormatting sqref="N20">
    <cfRule type="expression" dxfId="224" priority="41" stopIfTrue="1">
      <formula>$B20="×"</formula>
    </cfRule>
  </conditionalFormatting>
  <conditionalFormatting sqref="N18">
    <cfRule type="expression" dxfId="223" priority="39" stopIfTrue="1">
      <formula>$B18="×"</formula>
    </cfRule>
  </conditionalFormatting>
  <conditionalFormatting sqref="N22">
    <cfRule type="expression" dxfId="222" priority="37" stopIfTrue="1">
      <formula>$B22="×"</formula>
    </cfRule>
  </conditionalFormatting>
  <conditionalFormatting sqref="N23">
    <cfRule type="expression" dxfId="221" priority="38" stopIfTrue="1">
      <formula>$B23="×"</formula>
    </cfRule>
  </conditionalFormatting>
  <conditionalFormatting sqref="N21">
    <cfRule type="expression" dxfId="220" priority="36" stopIfTrue="1">
      <formula>$B21="×"</formula>
    </cfRule>
  </conditionalFormatting>
  <conditionalFormatting sqref="N25">
    <cfRule type="expression" dxfId="219" priority="34" stopIfTrue="1">
      <formula>$B25="×"</formula>
    </cfRule>
  </conditionalFormatting>
  <conditionalFormatting sqref="N26">
    <cfRule type="expression" dxfId="218" priority="35" stopIfTrue="1">
      <formula>$B26="×"</formula>
    </cfRule>
  </conditionalFormatting>
  <conditionalFormatting sqref="N24">
    <cfRule type="expression" dxfId="217" priority="33" stopIfTrue="1">
      <formula>$B24="×"</formula>
    </cfRule>
  </conditionalFormatting>
  <conditionalFormatting sqref="N28">
    <cfRule type="expression" dxfId="216" priority="31" stopIfTrue="1">
      <formula>$B28="×"</formula>
    </cfRule>
  </conditionalFormatting>
  <conditionalFormatting sqref="N29">
    <cfRule type="expression" dxfId="215" priority="32" stopIfTrue="1">
      <formula>$B29="×"</formula>
    </cfRule>
  </conditionalFormatting>
  <conditionalFormatting sqref="N27">
    <cfRule type="expression" dxfId="214" priority="30" stopIfTrue="1">
      <formula>$B27="×"</formula>
    </cfRule>
  </conditionalFormatting>
  <conditionalFormatting sqref="N31">
    <cfRule type="expression" dxfId="213" priority="28" stopIfTrue="1">
      <formula>$B31="×"</formula>
    </cfRule>
  </conditionalFormatting>
  <conditionalFormatting sqref="N32">
    <cfRule type="expression" dxfId="212" priority="29" stopIfTrue="1">
      <formula>$B32="×"</formula>
    </cfRule>
  </conditionalFormatting>
  <conditionalFormatting sqref="N30">
    <cfRule type="expression" dxfId="211" priority="27" stopIfTrue="1">
      <formula>$B30="×"</formula>
    </cfRule>
  </conditionalFormatting>
  <conditionalFormatting sqref="N34">
    <cfRule type="expression" dxfId="210" priority="25" stopIfTrue="1">
      <formula>$B34="×"</formula>
    </cfRule>
  </conditionalFormatting>
  <conditionalFormatting sqref="N35">
    <cfRule type="expression" dxfId="209" priority="26" stopIfTrue="1">
      <formula>$B35="×"</formula>
    </cfRule>
  </conditionalFormatting>
  <conditionalFormatting sqref="N33">
    <cfRule type="expression" dxfId="208" priority="24" stopIfTrue="1">
      <formula>$B33="×"</formula>
    </cfRule>
  </conditionalFormatting>
  <conditionalFormatting sqref="E11:E13">
    <cfRule type="expression" dxfId="207" priority="23" stopIfTrue="1">
      <formula>$B11="×"</formula>
    </cfRule>
  </conditionalFormatting>
  <conditionalFormatting sqref="E11:E13">
    <cfRule type="cellIs" dxfId="206" priority="22" stopIfTrue="1" operator="equal">
      <formula>"NG"</formula>
    </cfRule>
  </conditionalFormatting>
  <conditionalFormatting sqref="E16:E17">
    <cfRule type="expression" dxfId="205" priority="21" stopIfTrue="1">
      <formula>$B16="×"</formula>
    </cfRule>
  </conditionalFormatting>
  <conditionalFormatting sqref="E16:E17">
    <cfRule type="cellIs" dxfId="204" priority="20" stopIfTrue="1" operator="equal">
      <formula>"NG"</formula>
    </cfRule>
  </conditionalFormatting>
  <conditionalFormatting sqref="E18">
    <cfRule type="expression" dxfId="203" priority="19" stopIfTrue="1">
      <formula>$B18="×"</formula>
    </cfRule>
  </conditionalFormatting>
  <conditionalFormatting sqref="E18">
    <cfRule type="cellIs" dxfId="202" priority="18" stopIfTrue="1" operator="equal">
      <formula>"NG"</formula>
    </cfRule>
  </conditionalFormatting>
  <conditionalFormatting sqref="E19">
    <cfRule type="expression" dxfId="201" priority="17" stopIfTrue="1">
      <formula>$B19="×"</formula>
    </cfRule>
  </conditionalFormatting>
  <conditionalFormatting sqref="E19">
    <cfRule type="cellIs" dxfId="200" priority="16" stopIfTrue="1" operator="equal">
      <formula>"NG"</formula>
    </cfRule>
  </conditionalFormatting>
  <conditionalFormatting sqref="E20">
    <cfRule type="expression" dxfId="199" priority="15" stopIfTrue="1">
      <formula>$B20="×"</formula>
    </cfRule>
  </conditionalFormatting>
  <conditionalFormatting sqref="E20">
    <cfRule type="cellIs" dxfId="198" priority="14" stopIfTrue="1" operator="equal">
      <formula>"NG"</formula>
    </cfRule>
  </conditionalFormatting>
  <conditionalFormatting sqref="E21:E23">
    <cfRule type="expression" dxfId="197" priority="13" stopIfTrue="1">
      <formula>$B21="×"</formula>
    </cfRule>
  </conditionalFormatting>
  <conditionalFormatting sqref="E21:E23">
    <cfRule type="cellIs" dxfId="196" priority="12" stopIfTrue="1" operator="equal">
      <formula>"NG"</formula>
    </cfRule>
  </conditionalFormatting>
  <conditionalFormatting sqref="E24:E26">
    <cfRule type="expression" dxfId="195" priority="11" stopIfTrue="1">
      <formula>$B24="×"</formula>
    </cfRule>
  </conditionalFormatting>
  <conditionalFormatting sqref="E24:E26">
    <cfRule type="cellIs" dxfId="194" priority="10" stopIfTrue="1" operator="equal">
      <formula>"NG"</formula>
    </cfRule>
  </conditionalFormatting>
  <conditionalFormatting sqref="E27">
    <cfRule type="expression" dxfId="193" priority="9" stopIfTrue="1">
      <formula>$B27="×"</formula>
    </cfRule>
  </conditionalFormatting>
  <conditionalFormatting sqref="E27">
    <cfRule type="cellIs" dxfId="192" priority="8" stopIfTrue="1" operator="equal">
      <formula>"NG"</formula>
    </cfRule>
  </conditionalFormatting>
  <conditionalFormatting sqref="E28:E29">
    <cfRule type="expression" dxfId="191" priority="7" stopIfTrue="1">
      <formula>$B28="×"</formula>
    </cfRule>
  </conditionalFormatting>
  <conditionalFormatting sqref="E28:E29">
    <cfRule type="cellIs" dxfId="190" priority="6" stopIfTrue="1" operator="equal">
      <formula>"NG"</formula>
    </cfRule>
  </conditionalFormatting>
  <conditionalFormatting sqref="E30:E35">
    <cfRule type="expression" dxfId="189" priority="5" stopIfTrue="1">
      <formula>$B30="×"</formula>
    </cfRule>
  </conditionalFormatting>
  <conditionalFormatting sqref="E30:E35">
    <cfRule type="cellIs" dxfId="188" priority="4" stopIfTrue="1" operator="equal">
      <formula>"NG"</formula>
    </cfRule>
  </conditionalFormatting>
  <conditionalFormatting sqref="I11:I13">
    <cfRule type="expression" dxfId="187" priority="3" stopIfTrue="1">
      <formula>$B11="×"</formula>
    </cfRule>
  </conditionalFormatting>
  <conditionalFormatting sqref="I15:I35">
    <cfRule type="expression" dxfId="186" priority="2" stopIfTrue="1">
      <formula>$B15="×"</formula>
    </cfRule>
  </conditionalFormatting>
  <conditionalFormatting sqref="J15:J35">
    <cfRule type="expression" dxfId="185" priority="1" stopIfTrue="1">
      <formula>$B15="×"</formula>
    </cfRule>
  </conditionalFormatting>
  <dataValidations count="5">
    <dataValidation type="list" allowBlank="1" showInputMessage="1" showErrorMessage="1" sqref="G9:H35">
      <formula1>"－,同,異"</formula1>
    </dataValidation>
    <dataValidation type="list" allowBlank="1" showInputMessage="1" showErrorMessage="1" sqref="E9:E35">
      <formula1>"OK,NG"</formula1>
    </dataValidation>
    <dataValidation type="list" allowBlank="1" showInputMessage="1" showErrorMessage="1" sqref="D9:D35">
      <formula1>"正常系,異常系"</formula1>
    </dataValidation>
    <dataValidation type="list" allowBlank="1" showInputMessage="1" showErrorMessage="1" sqref="C9:C35">
      <formula1>"修正,デグレ"</formula1>
    </dataValidation>
    <dataValidation type="list" allowBlank="1" showInputMessage="1" showErrorMessage="1" sqref="B9:B35">
      <formula1>"○,×"</formula1>
    </dataValidation>
  </dataValidations>
  <pageMargins left="0.7" right="0.7" top="0.75" bottom="0.75" header="0.3" footer="0.3"/>
  <pageSetup paperSize="9" scale="64" orientation="landscape" verticalDpi="300" r:id="rId1"/>
  <colBreaks count="1" manualBreakCount="1">
    <brk id="51" max="36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33"/>
  <sheetViews>
    <sheetView view="pageBreakPreview" zoomScale="85" zoomScaleNormal="100" zoomScaleSheetLayoutView="85" workbookViewId="0">
      <selection activeCell="G13" sqref="G13:G14"/>
    </sheetView>
  </sheetViews>
  <sheetFormatPr defaultRowHeight="13.5"/>
  <cols>
    <col min="1" max="1" width="2.375" style="102" customWidth="1"/>
    <col min="2" max="2" width="2.875" style="102" customWidth="1"/>
    <col min="3" max="3" width="2.5" style="102" customWidth="1"/>
    <col min="4" max="4" width="4.25" style="102" customWidth="1"/>
    <col min="5" max="5" width="14.625" style="102" customWidth="1"/>
    <col min="6" max="6" width="16.25" style="102" customWidth="1"/>
    <col min="7" max="7" width="15.75" style="102" customWidth="1"/>
    <col min="8" max="8" width="16.125" style="102" customWidth="1"/>
    <col min="9" max="9" width="2.25" style="101" customWidth="1"/>
    <col min="10" max="10" width="4.625" style="101" customWidth="1"/>
  </cols>
  <sheetData>
    <row r="1" spans="1:10" ht="21">
      <c r="A1" s="131" t="s">
        <v>131</v>
      </c>
      <c r="B1" s="105"/>
      <c r="C1" s="105"/>
      <c r="D1" s="105"/>
      <c r="E1" s="105"/>
      <c r="F1" s="105"/>
      <c r="G1" s="105"/>
      <c r="H1" s="105"/>
      <c r="I1" s="108"/>
      <c r="J1" s="87"/>
    </row>
    <row r="2" spans="1:10">
      <c r="A2" s="120"/>
      <c r="B2" s="107"/>
      <c r="C2" s="108"/>
      <c r="D2" s="108"/>
      <c r="E2" s="108"/>
      <c r="F2" s="108"/>
      <c r="G2" s="108"/>
      <c r="H2" s="106"/>
      <c r="I2" s="108"/>
      <c r="J2" s="87"/>
    </row>
    <row r="3" spans="1:10">
      <c r="A3" s="120"/>
      <c r="B3" s="108"/>
      <c r="C3" s="108"/>
      <c r="D3" s="108"/>
      <c r="E3" s="108"/>
      <c r="F3" s="108"/>
      <c r="G3" s="108"/>
      <c r="H3" s="106"/>
      <c r="I3" s="108"/>
      <c r="J3" s="87"/>
    </row>
    <row r="4" spans="1:10">
      <c r="A4" s="120"/>
      <c r="B4" s="108"/>
      <c r="C4" s="186" t="s">
        <v>62</v>
      </c>
      <c r="D4" s="187"/>
      <c r="E4" s="188"/>
      <c r="F4" s="109" t="s">
        <v>69</v>
      </c>
      <c r="G4" s="110">
        <v>101</v>
      </c>
      <c r="H4" s="106"/>
      <c r="I4" s="108"/>
      <c r="J4" s="87"/>
    </row>
    <row r="5" spans="1:10">
      <c r="A5" s="120"/>
      <c r="B5" s="108"/>
      <c r="C5" s="189" t="s">
        <v>132</v>
      </c>
      <c r="D5" s="189"/>
      <c r="E5" s="189"/>
      <c r="F5" s="109" t="s">
        <v>134</v>
      </c>
      <c r="G5" s="145" t="str">
        <f>TEXT(価格取得_Data!D15,"YYYY/MM/DD")</f>
        <v>2019/10/10</v>
      </c>
      <c r="H5" s="106"/>
      <c r="I5" s="108"/>
      <c r="J5" s="87"/>
    </row>
    <row r="6" spans="1:10">
      <c r="A6" s="120"/>
      <c r="B6" s="108"/>
      <c r="C6" s="189" t="s">
        <v>133</v>
      </c>
      <c r="D6" s="189"/>
      <c r="E6" s="189"/>
      <c r="F6" s="109" t="s">
        <v>136</v>
      </c>
      <c r="G6" s="145" t="str">
        <f>TEXT(価格取得_Data!E15,"YYYY/MM/DD")</f>
        <v>2019/10/09</v>
      </c>
      <c r="H6" s="106"/>
      <c r="I6" s="108"/>
      <c r="J6" s="87"/>
    </row>
    <row r="7" spans="1:10">
      <c r="A7" s="120"/>
      <c r="B7" s="106"/>
      <c r="C7" s="106"/>
      <c r="D7" s="106"/>
      <c r="E7" s="106"/>
      <c r="F7" s="106"/>
      <c r="G7" s="106"/>
      <c r="H7" s="106"/>
      <c r="I7" s="108"/>
      <c r="J7" s="87"/>
    </row>
    <row r="8" spans="1:10">
      <c r="A8" s="147"/>
      <c r="B8" s="127"/>
      <c r="C8" s="127"/>
      <c r="D8" s="127"/>
      <c r="E8" s="127"/>
      <c r="F8" s="150"/>
      <c r="G8" s="127"/>
      <c r="H8" s="127"/>
      <c r="I8" s="130"/>
    </row>
    <row r="9" spans="1:10">
      <c r="A9" s="147"/>
      <c r="B9" s="190" t="s">
        <v>137</v>
      </c>
      <c r="C9" s="191"/>
      <c r="D9" s="191"/>
      <c r="E9" s="191"/>
      <c r="F9" s="191"/>
      <c r="G9" s="191"/>
      <c r="H9" s="192"/>
      <c r="I9" s="130"/>
    </row>
    <row r="10" spans="1:10">
      <c r="A10" s="147"/>
      <c r="B10" s="193"/>
      <c r="C10" s="194"/>
      <c r="D10" s="194"/>
      <c r="E10" s="194"/>
      <c r="F10" s="194"/>
      <c r="G10" s="194"/>
      <c r="H10" s="195"/>
      <c r="I10" s="130"/>
    </row>
    <row r="11" spans="1:10">
      <c r="A11" s="147"/>
      <c r="B11" s="133"/>
      <c r="C11" s="203" t="s">
        <v>130</v>
      </c>
      <c r="D11" s="204"/>
      <c r="E11" s="205"/>
      <c r="F11" s="209" t="s">
        <v>128</v>
      </c>
      <c r="G11" s="209" t="s">
        <v>129</v>
      </c>
      <c r="H11" s="210" t="s">
        <v>152</v>
      </c>
      <c r="I11" s="130"/>
    </row>
    <row r="12" spans="1:10">
      <c r="A12" s="147"/>
      <c r="B12" s="135"/>
      <c r="C12" s="206"/>
      <c r="D12" s="207"/>
      <c r="E12" s="208"/>
      <c r="F12" s="209"/>
      <c r="G12" s="209"/>
      <c r="H12" s="209"/>
      <c r="I12" s="130"/>
    </row>
    <row r="13" spans="1:10">
      <c r="A13" s="147"/>
      <c r="B13" s="135"/>
      <c r="C13" s="122"/>
      <c r="D13" s="196" t="s">
        <v>81</v>
      </c>
      <c r="E13" s="197"/>
      <c r="F13" s="184">
        <f>IF(価格取得_Data!F47="",H13,価格取得_Data!F47)</f>
        <v>5876</v>
      </c>
      <c r="G13" s="184">
        <f>IF(価格取得_Data!F25="",H15,価格取得_Data!F25)</f>
        <v>5616</v>
      </c>
      <c r="H13" s="184">
        <f>価格取得_Data!F59</f>
        <v>5876</v>
      </c>
      <c r="I13" s="130"/>
    </row>
    <row r="14" spans="1:10">
      <c r="A14" s="147"/>
      <c r="B14" s="135"/>
      <c r="C14" s="122"/>
      <c r="D14" s="198"/>
      <c r="E14" s="199"/>
      <c r="F14" s="185"/>
      <c r="G14" s="185"/>
      <c r="H14" s="185"/>
      <c r="I14" s="130"/>
    </row>
    <row r="15" spans="1:10">
      <c r="A15" s="147"/>
      <c r="B15" s="135"/>
      <c r="C15" s="122"/>
      <c r="D15" s="198"/>
      <c r="E15" s="199"/>
      <c r="F15" s="182">
        <f>F13-H13</f>
        <v>0</v>
      </c>
      <c r="G15" s="182">
        <f>G13-H15</f>
        <v>0</v>
      </c>
      <c r="H15" s="184">
        <f>価格取得_Data!F37</f>
        <v>5616</v>
      </c>
      <c r="I15" s="130"/>
    </row>
    <row r="16" spans="1:10">
      <c r="A16" s="147"/>
      <c r="B16" s="135"/>
      <c r="C16" s="122"/>
      <c r="D16" s="200"/>
      <c r="E16" s="201"/>
      <c r="F16" s="183"/>
      <c r="G16" s="183"/>
      <c r="H16" s="185"/>
      <c r="I16" s="130"/>
    </row>
    <row r="17" spans="1:9">
      <c r="A17" s="147"/>
      <c r="B17" s="135"/>
      <c r="C17" s="122"/>
      <c r="D17" s="196" t="s">
        <v>106</v>
      </c>
      <c r="E17" s="197"/>
      <c r="F17" s="184">
        <f>IF(価格取得_Data!F48="",H17,価格取得_Data!F48)</f>
        <v>3554</v>
      </c>
      <c r="G17" s="184">
        <f>IF(価格取得_Data!F26="",H19,価格取得_Data!F26)</f>
        <v>3319</v>
      </c>
      <c r="H17" s="184">
        <f>価格取得_Data!F60</f>
        <v>3554</v>
      </c>
      <c r="I17" s="130"/>
    </row>
    <row r="18" spans="1:9">
      <c r="A18" s="147"/>
      <c r="B18" s="135"/>
      <c r="C18" s="122"/>
      <c r="D18" s="198"/>
      <c r="E18" s="199"/>
      <c r="F18" s="185"/>
      <c r="G18" s="185"/>
      <c r="H18" s="185"/>
      <c r="I18" s="130"/>
    </row>
    <row r="19" spans="1:9">
      <c r="A19" s="147"/>
      <c r="B19" s="135"/>
      <c r="C19" s="122"/>
      <c r="D19" s="198"/>
      <c r="E19" s="199"/>
      <c r="F19" s="182">
        <f>F17-H17</f>
        <v>0</v>
      </c>
      <c r="G19" s="182">
        <f>G17-H19</f>
        <v>0</v>
      </c>
      <c r="H19" s="184">
        <f>価格取得_Data!F38</f>
        <v>3319</v>
      </c>
      <c r="I19" s="130"/>
    </row>
    <row r="20" spans="1:9">
      <c r="A20" s="147"/>
      <c r="B20" s="132"/>
      <c r="C20" s="138"/>
      <c r="D20" s="200"/>
      <c r="E20" s="201"/>
      <c r="F20" s="183"/>
      <c r="G20" s="183"/>
      <c r="H20" s="202"/>
      <c r="I20" s="130"/>
    </row>
    <row r="21" spans="1:9">
      <c r="A21" s="147"/>
      <c r="B21" s="127"/>
      <c r="C21" s="127"/>
      <c r="D21" s="127"/>
      <c r="E21" s="127"/>
      <c r="F21" s="150"/>
      <c r="G21" s="127"/>
      <c r="H21" s="127"/>
      <c r="I21" s="130"/>
    </row>
    <row r="22" spans="1:9">
      <c r="B22" s="103"/>
      <c r="C22" s="103"/>
      <c r="D22" s="103"/>
      <c r="E22" s="103"/>
      <c r="F22" s="104"/>
      <c r="G22" s="103"/>
      <c r="H22" s="103"/>
    </row>
    <row r="23" spans="1:9">
      <c r="B23" s="103"/>
      <c r="C23" s="103"/>
      <c r="D23" s="103"/>
      <c r="E23" s="103"/>
      <c r="F23" s="104"/>
      <c r="G23" s="103"/>
      <c r="H23" s="103"/>
    </row>
    <row r="24" spans="1:9">
      <c r="B24" s="103"/>
      <c r="C24" s="103"/>
      <c r="D24" s="103"/>
      <c r="E24" s="103"/>
      <c r="F24" s="104"/>
      <c r="G24" s="103"/>
      <c r="H24" s="103"/>
    </row>
    <row r="25" spans="1:9">
      <c r="B25" s="103"/>
      <c r="C25" s="103"/>
      <c r="D25" s="103"/>
      <c r="E25" s="103"/>
      <c r="F25" s="104"/>
      <c r="G25" s="103"/>
      <c r="H25" s="103"/>
    </row>
    <row r="26" spans="1:9">
      <c r="B26" s="103"/>
      <c r="C26" s="103"/>
      <c r="D26" s="103"/>
      <c r="E26" s="103"/>
      <c r="F26" s="104"/>
      <c r="G26" s="103"/>
      <c r="H26" s="103"/>
    </row>
    <row r="27" spans="1:9">
      <c r="B27" s="103"/>
      <c r="C27" s="103"/>
      <c r="D27" s="103"/>
      <c r="E27" s="103"/>
      <c r="F27" s="104"/>
      <c r="G27" s="103"/>
      <c r="H27" s="103"/>
    </row>
    <row r="28" spans="1:9">
      <c r="B28" s="103"/>
      <c r="C28" s="103"/>
      <c r="D28" s="103"/>
      <c r="E28" s="103"/>
      <c r="F28" s="104"/>
      <c r="G28" s="103"/>
      <c r="H28" s="103"/>
    </row>
    <row r="29" spans="1:9">
      <c r="B29" s="103"/>
      <c r="C29" s="103"/>
      <c r="D29" s="103"/>
      <c r="E29" s="103"/>
      <c r="F29" s="104"/>
      <c r="G29" s="103"/>
      <c r="H29" s="103"/>
    </row>
    <row r="30" spans="1:9">
      <c r="B30" s="103"/>
      <c r="C30" s="103"/>
      <c r="D30" s="103"/>
      <c r="E30" s="103"/>
      <c r="F30" s="104"/>
      <c r="G30" s="103"/>
      <c r="H30" s="103"/>
    </row>
    <row r="31" spans="1:9">
      <c r="B31" s="103"/>
      <c r="C31" s="103"/>
      <c r="D31" s="103"/>
      <c r="E31" s="103"/>
      <c r="F31" s="104"/>
      <c r="G31" s="103"/>
      <c r="H31" s="103"/>
    </row>
    <row r="32" spans="1:9">
      <c r="B32" s="103"/>
      <c r="C32" s="103"/>
      <c r="D32" s="103"/>
      <c r="E32" s="103"/>
      <c r="F32" s="104"/>
      <c r="G32" s="103"/>
      <c r="H32" s="103"/>
    </row>
    <row r="33" spans="2:8">
      <c r="B33" s="103"/>
      <c r="C33" s="103"/>
      <c r="D33" s="103"/>
      <c r="E33" s="103"/>
      <c r="F33" s="104"/>
      <c r="G33" s="103"/>
      <c r="H33" s="103"/>
    </row>
  </sheetData>
  <mergeCells count="22">
    <mergeCell ref="D17:E20"/>
    <mergeCell ref="H15:H16"/>
    <mergeCell ref="H19:H20"/>
    <mergeCell ref="H17:H18"/>
    <mergeCell ref="H13:H14"/>
    <mergeCell ref="G13:G14"/>
    <mergeCell ref="C4:E4"/>
    <mergeCell ref="C5:E5"/>
    <mergeCell ref="C6:E6"/>
    <mergeCell ref="F13:F14"/>
    <mergeCell ref="B9:H10"/>
    <mergeCell ref="D13:E16"/>
    <mergeCell ref="C11:E12"/>
    <mergeCell ref="F11:F12"/>
    <mergeCell ref="G11:G12"/>
    <mergeCell ref="H11:H12"/>
    <mergeCell ref="F15:F16"/>
    <mergeCell ref="G15:G16"/>
    <mergeCell ref="F17:F18"/>
    <mergeCell ref="G17:G18"/>
    <mergeCell ref="F19:F20"/>
    <mergeCell ref="G19:G20"/>
  </mergeCells>
  <phoneticPr fontId="5"/>
  <pageMargins left="0.7" right="0.7" top="0.75" bottom="0.75" header="0.3" footer="0.3"/>
  <pageSetup paperSize="9" scale="74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getsheetsdata.getsheetsdata">
                <anchor moveWithCells="1" sizeWithCells="1">
                  <from>
                    <xdr:col>1</xdr:col>
                    <xdr:colOff>219075</xdr:colOff>
                    <xdr:row>1</xdr:row>
                    <xdr:rowOff>123825</xdr:rowOff>
                  </from>
                  <to>
                    <xdr:col>4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61"/>
  <sheetViews>
    <sheetView topLeftCell="A7" zoomScale="85" zoomScaleNormal="85" workbookViewId="0">
      <selection activeCell="G13" sqref="G13:G14"/>
    </sheetView>
  </sheetViews>
  <sheetFormatPr defaultRowHeight="13.5"/>
  <cols>
    <col min="1" max="1" width="2.375" style="76" customWidth="1"/>
    <col min="2" max="3" width="2.375" style="76" hidden="1" customWidth="1"/>
    <col min="4" max="4" width="18.625" style="76" customWidth="1"/>
    <col min="5" max="5" width="16.25" style="76" customWidth="1"/>
    <col min="6" max="6" width="13.875" style="76" bestFit="1" customWidth="1"/>
    <col min="7" max="7" width="12.25" style="76" customWidth="1"/>
    <col min="8" max="8" width="11.625" style="76" bestFit="1" customWidth="1"/>
    <col min="9" max="9" width="18.625" style="76" customWidth="1"/>
    <col min="10" max="10" width="15" style="76" bestFit="1" customWidth="1"/>
    <col min="11" max="11" width="13.875" style="76" bestFit="1" customWidth="1"/>
    <col min="12" max="12" width="18.5" style="76" bestFit="1" customWidth="1"/>
    <col min="13" max="13" width="18.375" style="76" bestFit="1" customWidth="1"/>
    <col min="14" max="14" width="17.25" style="76" bestFit="1" customWidth="1"/>
    <col min="15" max="15" width="16.125" style="76" bestFit="1" customWidth="1"/>
    <col min="16" max="16" width="19.375" style="76" bestFit="1" customWidth="1"/>
    <col min="17" max="17" width="10.5" style="76" bestFit="1" customWidth="1"/>
    <col min="18" max="18" width="12.75" style="76" bestFit="1" customWidth="1"/>
    <col min="19" max="19" width="16.125" style="76" bestFit="1" customWidth="1"/>
    <col min="20" max="20" width="9.5" style="76" bestFit="1" customWidth="1"/>
    <col min="21" max="21" width="11.625" style="76" bestFit="1" customWidth="1"/>
    <col min="22" max="22" width="12.5" style="76" customWidth="1"/>
    <col min="23" max="23" width="17" style="76" customWidth="1"/>
    <col min="24" max="24" width="16.125" style="76" bestFit="1" customWidth="1"/>
    <col min="25" max="25" width="16" style="76" customWidth="1"/>
    <col min="26" max="26" width="16.125" style="76" bestFit="1" customWidth="1"/>
    <col min="27" max="27" width="15.125" style="76" customWidth="1"/>
    <col min="28" max="28" width="17.25" style="76" bestFit="1" customWidth="1"/>
    <col min="29" max="29" width="18.375" style="76" bestFit="1" customWidth="1"/>
    <col min="30" max="31" width="15" style="76" bestFit="1" customWidth="1"/>
    <col min="32" max="32" width="19.375" style="76" bestFit="1" customWidth="1"/>
    <col min="33" max="33" width="11.625" style="76" bestFit="1" customWidth="1"/>
    <col min="34" max="34" width="22.75" style="76" bestFit="1" customWidth="1"/>
    <col min="35" max="35" width="11.625" style="76" bestFit="1" customWidth="1"/>
    <col min="36" max="36" width="10.5" style="76" bestFit="1" customWidth="1"/>
    <col min="37" max="37" width="15" style="76" bestFit="1" customWidth="1"/>
    <col min="38" max="38" width="10.5" style="76" bestFit="1" customWidth="1"/>
    <col min="39" max="39" width="15" style="76" bestFit="1" customWidth="1"/>
    <col min="40" max="44" width="9" style="76"/>
    <col min="45" max="45" width="12.5" style="76" customWidth="1"/>
    <col min="46" max="46" width="15.75" style="76" customWidth="1"/>
    <col min="47" max="16384" width="9" style="76"/>
  </cols>
  <sheetData>
    <row r="1" spans="1:24" s="73" customFormat="1" ht="16.5" customHeight="1">
      <c r="B1" s="74"/>
      <c r="C1" s="74"/>
      <c r="D1" s="74" t="s">
        <v>60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</row>
    <row r="2" spans="1:24" s="73" customFormat="1" ht="16.5" customHeight="1">
      <c r="A2" s="74"/>
      <c r="B2" s="74"/>
      <c r="C2" s="74"/>
      <c r="D2" s="81" t="s">
        <v>59</v>
      </c>
      <c r="E2" s="124" t="s">
        <v>107</v>
      </c>
      <c r="F2" s="75"/>
      <c r="G2" s="75"/>
      <c r="H2" s="75"/>
      <c r="I2" s="75"/>
      <c r="J2" s="75"/>
      <c r="K2" s="75"/>
      <c r="L2" s="75"/>
      <c r="M2" s="75"/>
      <c r="N2" s="75"/>
      <c r="O2" s="75"/>
    </row>
    <row r="3" spans="1:24" s="73" customFormat="1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</row>
    <row r="4" spans="1:24" ht="14.25" customHeight="1">
      <c r="D4" s="77" t="s">
        <v>61</v>
      </c>
      <c r="V4" s="73"/>
      <c r="W4" s="73"/>
      <c r="X4" s="73"/>
    </row>
    <row r="5" spans="1:24" s="73" customFormat="1">
      <c r="A5" s="75"/>
      <c r="B5" s="75"/>
      <c r="C5" s="75"/>
      <c r="D5" s="82" t="e">
        <f>#REF!</f>
        <v>#REF!</v>
      </c>
      <c r="E5" s="82" t="str">
        <f>価格取得!F4</f>
        <v>COMPANY_CD</v>
      </c>
      <c r="F5" s="83">
        <f>価格取得!G4</f>
        <v>101</v>
      </c>
      <c r="G5" s="75" t="str">
        <f>IF(E5="","",E5&amp;" = "&amp;"'"&amp;F5&amp;"'"&amp;IF(G6="",""," AND "))</f>
        <v xml:space="preserve">COMPANY_CD = '101' AND </v>
      </c>
      <c r="H5" s="75"/>
      <c r="J5" s="75"/>
      <c r="K5" s="75"/>
      <c r="L5" s="75"/>
      <c r="M5" s="75"/>
      <c r="N5" s="75"/>
      <c r="O5" s="75"/>
    </row>
    <row r="6" spans="1:24" s="73" customFormat="1">
      <c r="A6" s="75"/>
      <c r="B6" s="75"/>
      <c r="C6" s="75"/>
      <c r="D6" s="82" t="s">
        <v>138</v>
      </c>
      <c r="E6" s="82" t="str">
        <f>価格取得!F5</f>
        <v>BASE_D</v>
      </c>
      <c r="F6" s="114" t="str">
        <f>TEXT(D15,"YYYY/MM/DD")</f>
        <v>2019/10/10</v>
      </c>
      <c r="G6" s="75" t="str">
        <f>IF(E6="","",E6&amp;" = "&amp;"'"&amp;F6&amp;"'"&amp;IF(F7="",""," AND "))</f>
        <v xml:space="preserve">BASE_D = '2019/10/10' AND </v>
      </c>
      <c r="H6" s="75"/>
      <c r="J6" s="75"/>
      <c r="K6" s="75"/>
      <c r="L6" s="75"/>
      <c r="M6" s="75"/>
      <c r="N6" s="75"/>
      <c r="O6" s="75"/>
    </row>
    <row r="7" spans="1:24" s="73" customFormat="1">
      <c r="A7" s="75"/>
      <c r="B7" s="75"/>
      <c r="C7" s="75"/>
      <c r="D7" s="82" t="s">
        <v>139</v>
      </c>
      <c r="E7" s="82" t="str">
        <f>価格取得!F6</f>
        <v>PREV_TRADE_D</v>
      </c>
      <c r="F7" s="114" t="str">
        <f>TEXT(E15,"YYYY/MM/DD")</f>
        <v>2019/10/09</v>
      </c>
      <c r="G7" s="75" t="str">
        <f>IF(E7="","",E7&amp;" = "&amp;"'"&amp;F7&amp;"'"&amp;IF(F8="",""," AND "))</f>
        <v>PREV_TRADE_D = '2019/10/09'</v>
      </c>
      <c r="H7" s="75"/>
      <c r="I7" s="75"/>
      <c r="J7" s="75"/>
      <c r="K7" s="75"/>
      <c r="L7" s="75"/>
      <c r="M7" s="75"/>
      <c r="N7" s="75"/>
      <c r="O7" s="75"/>
    </row>
    <row r="8" spans="1:24" s="73" customFormat="1">
      <c r="A8" s="75"/>
      <c r="B8" s="75"/>
      <c r="C8" s="75"/>
      <c r="D8" s="75"/>
      <c r="E8" s="75"/>
      <c r="F8" s="76"/>
      <c r="G8" s="75"/>
      <c r="H8" s="75"/>
      <c r="I8" s="75"/>
      <c r="J8" s="75"/>
      <c r="K8" s="75"/>
      <c r="L8" s="75"/>
      <c r="M8" s="75"/>
      <c r="N8" s="75"/>
      <c r="O8" s="75"/>
    </row>
    <row r="9" spans="1:24" s="73" customFormat="1">
      <c r="A9" s="75" t="s">
        <v>47</v>
      </c>
      <c r="B9" s="72"/>
      <c r="C9" s="72"/>
      <c r="D9" s="78" t="s">
        <v>48</v>
      </c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1:24" s="73" customFormat="1">
      <c r="A10" s="75" t="s">
        <v>32</v>
      </c>
      <c r="B10" s="75"/>
      <c r="C10" s="75"/>
      <c r="D10" s="74" t="s">
        <v>49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</row>
    <row r="11" spans="1:24" s="73" customFormat="1" ht="13.5" customHeight="1">
      <c r="A11" s="72"/>
      <c r="B11" s="72"/>
      <c r="C11" s="72"/>
      <c r="D11" s="72" t="s">
        <v>102</v>
      </c>
      <c r="E11" s="72"/>
      <c r="F11" s="157"/>
      <c r="G11" s="75" t="s">
        <v>126</v>
      </c>
      <c r="H11" s="75"/>
      <c r="I11" s="75"/>
      <c r="J11" s="75"/>
      <c r="K11" s="72"/>
      <c r="L11" s="72"/>
      <c r="M11" s="72"/>
      <c r="N11" s="72"/>
      <c r="O11" s="72"/>
      <c r="P11" s="72"/>
    </row>
    <row r="12" spans="1:24" s="73" customFormat="1">
      <c r="A12" s="72"/>
      <c r="B12" s="72"/>
      <c r="C12" s="72"/>
      <c r="D12" s="72" t="s">
        <v>89</v>
      </c>
      <c r="E12" s="72"/>
      <c r="F12" s="72"/>
      <c r="G12" s="75"/>
      <c r="H12" s="75"/>
      <c r="I12" s="75"/>
      <c r="J12" s="75"/>
      <c r="K12" s="72"/>
      <c r="L12" s="72"/>
      <c r="M12" s="72"/>
      <c r="N12" s="72"/>
      <c r="O12" s="72"/>
      <c r="P12" s="72"/>
    </row>
    <row r="13" spans="1:24" s="73" customFormat="1">
      <c r="A13" s="72"/>
      <c r="B13" s="72"/>
      <c r="C13" s="72"/>
      <c r="D13" s="111" t="s">
        <v>90</v>
      </c>
      <c r="E13" s="111" t="s">
        <v>135</v>
      </c>
      <c r="F13" s="111" t="s">
        <v>91</v>
      </c>
      <c r="G13" s="141" t="s">
        <v>78</v>
      </c>
      <c r="H13" s="141" t="s">
        <v>79</v>
      </c>
      <c r="I13" s="141" t="s">
        <v>92</v>
      </c>
      <c r="J13" s="141" t="s">
        <v>93</v>
      </c>
      <c r="K13" s="146" t="s">
        <v>73</v>
      </c>
      <c r="L13" s="146" t="s">
        <v>74</v>
      </c>
      <c r="M13" s="146" t="s">
        <v>75</v>
      </c>
      <c r="N13" s="146" t="s">
        <v>76</v>
      </c>
      <c r="O13" s="146" t="s">
        <v>77</v>
      </c>
      <c r="P13" s="72"/>
    </row>
    <row r="14" spans="1:24" s="73" customFormat="1">
      <c r="A14" s="72"/>
      <c r="B14" s="72"/>
      <c r="C14" s="72"/>
      <c r="D14" s="111" t="s">
        <v>94</v>
      </c>
      <c r="E14" s="111" t="s">
        <v>95</v>
      </c>
      <c r="F14" s="111" t="s">
        <v>96</v>
      </c>
      <c r="G14" s="111" t="s">
        <v>66</v>
      </c>
      <c r="H14" s="111" t="s">
        <v>50</v>
      </c>
      <c r="I14" s="111" t="s">
        <v>97</v>
      </c>
      <c r="J14" s="139" t="s">
        <v>98</v>
      </c>
      <c r="K14" s="146" t="s">
        <v>51</v>
      </c>
      <c r="L14" s="146" t="s">
        <v>52</v>
      </c>
      <c r="M14" s="146" t="s">
        <v>53</v>
      </c>
      <c r="N14" s="146" t="s">
        <v>54</v>
      </c>
      <c r="O14" s="146" t="s">
        <v>55</v>
      </c>
      <c r="P14" s="72"/>
    </row>
    <row r="15" spans="1:24" s="73" customFormat="1">
      <c r="A15" s="72"/>
      <c r="B15" s="72"/>
      <c r="C15" s="72"/>
      <c r="D15" s="112">
        <v>43748</v>
      </c>
      <c r="E15" s="112">
        <v>43747</v>
      </c>
      <c r="F15" s="112">
        <v>43749</v>
      </c>
      <c r="G15" s="112">
        <v>43748</v>
      </c>
      <c r="H15" s="112">
        <v>43753</v>
      </c>
      <c r="I15" s="112">
        <v>43747</v>
      </c>
      <c r="J15" s="142" t="s">
        <v>103</v>
      </c>
      <c r="K15" s="146" t="s">
        <v>82</v>
      </c>
      <c r="L15" s="129">
        <v>43735.743206018517</v>
      </c>
      <c r="M15" s="146" t="s">
        <v>104</v>
      </c>
      <c r="N15" s="129">
        <v>43747.692129629628</v>
      </c>
      <c r="O15" s="146" t="s">
        <v>105</v>
      </c>
      <c r="P15" s="72"/>
    </row>
    <row r="16" spans="1:24" s="73" customFormat="1">
      <c r="A16" s="72"/>
      <c r="B16" s="72"/>
      <c r="C16" s="72"/>
      <c r="D16" s="112"/>
      <c r="E16" s="112"/>
      <c r="F16" s="112"/>
      <c r="G16" s="112"/>
      <c r="H16" s="112"/>
      <c r="I16" s="112"/>
      <c r="J16" s="142"/>
      <c r="K16" s="146"/>
      <c r="L16" s="129"/>
      <c r="M16" s="146"/>
      <c r="N16" s="129"/>
      <c r="O16" s="146"/>
      <c r="P16" s="72"/>
    </row>
    <row r="17" spans="1:20" s="73" customFormat="1">
      <c r="A17" s="75"/>
      <c r="B17" s="75"/>
      <c r="C17" s="75"/>
      <c r="E17" s="79"/>
      <c r="F17" s="80"/>
    </row>
    <row r="18" spans="1:20" s="73" customFormat="1">
      <c r="A18" s="134"/>
      <c r="B18" s="134"/>
      <c r="C18" s="134"/>
      <c r="D18" s="148"/>
      <c r="E18" s="140"/>
      <c r="F18" s="137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</row>
    <row r="19" spans="1:20">
      <c r="A19" s="136" t="s">
        <v>47</v>
      </c>
      <c r="B19" s="72"/>
      <c r="C19" s="72"/>
      <c r="D19" s="78" t="s">
        <v>129</v>
      </c>
    </row>
    <row r="20" spans="1:20">
      <c r="A20" s="126" t="s">
        <v>32</v>
      </c>
      <c r="B20" s="75"/>
      <c r="C20" s="75"/>
      <c r="D20" s="74" t="s">
        <v>49</v>
      </c>
    </row>
    <row r="21" spans="1:20">
      <c r="A21" s="128"/>
      <c r="D21" s="149" t="s">
        <v>121</v>
      </c>
      <c r="F21" s="157"/>
      <c r="G21" s="75" t="str">
        <f>"SELECT 
 P1.BASE_D  
, P1.COMMODITY_CD
, P1.PRICE AS PRICE
FROM 
 T_PM_TRADE_PRICE  P1 "
&amp;"INNER JOIN (
 SELECT
  COMPANY_CD        
 , COMMODITY_CD        
 , BASE_D        
 , SESSION_CLS        
 , TRADE_CLS 
 , MAX(SUB_NO) AS SUB_NO "
&amp;"FROM
  T_PM_TRADE_PRICE        
  WHERE
  DELETE_FLG = 'N'       
  AND COMPANY_CD = CONVERT(CHAR(3),"&amp;F5&amp;")       
  AND BASE_D = '"&amp;TEXT(F6,"YYYY/MM/DD")&amp;"'
  AND TRADE_CLS  = '1'       "
&amp;"AND COMMODITY_CD = COMMODITY_CD        
  GROUP BY 
  COMPANY_CD,COMMODITY_CD,BASE_D,SESSION_CLS,TRADE_CLS )  P2        "
&amp;" ON  P1.COMPANY_CD = P2.COMPANY_CD        
 AND P1.COMMODITY_CD = P2.COMMODITY_CD
 AND P1.BASE_D = P2.BASE_D
 AND P1.SESSION_CLS = P2.SESSION_CLS
 AND P1.TRADE_CLS = P2.TRADE_CLS 
 AND P1.SUB_NO = P2.SUB_NO "&amp;" WHERE   
 P1.DELETE_FLG = 'N' 
order by P1.commodity_Cd"</f>
        <v>SELECT 
 P1.BASE_D  
, P1.COMMODITY_CD
, P1.PRICE AS PRICE
FROM 
 T_PM_TRADE_PRICE  P1 INNER JOIN (
 SELECT
  COMPANY_CD        
 , COMMODITY_CD        
 , BASE_D        
 , SESSION_CLS        
 , TRADE_CLS 
 , MAX(SUB_NO) AS SUB_NO FROM
  T_PM_TRADE_PRICE        
  WHERE
  DELETE_FLG = 'N'       
  AND COMPANY_CD = CONVERT(CHAR(3),101)       
  AND BASE_D = '2019/10/10'
  AND TRADE_CLS  = '1'       AND COMMODITY_CD = COMMODITY_CD        
  GROUP BY 
  COMPANY_CD,COMMODITY_CD,BASE_D,SESSION_CLS,TRADE_CLS )  P2         ON  P1.COMPANY_CD = P2.COMPANY_CD        
 AND P1.COMMODITY_CD = P2.COMMODITY_CD
 AND P1.BASE_D = P2.BASE_D
 AND P1.SESSION_CLS = P2.SESSION_CLS
 AND P1.TRADE_CLS = P2.TRADE_CLS 
 AND P1.SUB_NO = P2.SUB_NO  WHERE   
 P1.DELETE_FLG = 'N' 
order by P1.commodity_Cd</v>
      </c>
    </row>
    <row r="22" spans="1:20">
      <c r="A22" s="128"/>
      <c r="D22" s="149" t="s">
        <v>100</v>
      </c>
    </row>
    <row r="23" spans="1:20">
      <c r="A23" s="128"/>
      <c r="D23" s="152" t="s">
        <v>84</v>
      </c>
      <c r="E23" s="152" t="s">
        <v>117</v>
      </c>
      <c r="F23" s="152" t="s">
        <v>124</v>
      </c>
      <c r="O23" s="146"/>
      <c r="P23" s="146"/>
      <c r="Q23" s="146"/>
      <c r="R23" s="146"/>
      <c r="S23" s="146"/>
    </row>
    <row r="24" spans="1:20">
      <c r="A24" s="128"/>
      <c r="D24" s="152" t="s">
        <v>85</v>
      </c>
      <c r="E24" s="152" t="s">
        <v>65</v>
      </c>
      <c r="F24" s="152" t="s">
        <v>125</v>
      </c>
      <c r="O24" s="146"/>
      <c r="P24" s="146"/>
      <c r="Q24" s="146"/>
      <c r="R24" s="146"/>
      <c r="S24" s="146"/>
    </row>
    <row r="25" spans="1:20">
      <c r="A25" s="128"/>
      <c r="D25" s="144"/>
      <c r="E25" s="125"/>
      <c r="F25" s="113"/>
      <c r="O25" s="146"/>
      <c r="P25" s="129"/>
      <c r="Q25" s="146"/>
      <c r="R25" s="129"/>
      <c r="S25" s="146"/>
    </row>
    <row r="26" spans="1:20">
      <c r="A26" s="128"/>
      <c r="D26" s="144"/>
      <c r="E26" s="125"/>
      <c r="F26" s="113"/>
      <c r="O26" s="146"/>
      <c r="P26" s="129"/>
      <c r="Q26" s="146"/>
      <c r="R26" s="129"/>
      <c r="S26" s="146"/>
    </row>
    <row r="27" spans="1:20">
      <c r="A27" s="128"/>
    </row>
    <row r="28" spans="1:20">
      <c r="A28" s="128"/>
    </row>
    <row r="29" spans="1:20">
      <c r="A29" s="128"/>
    </row>
    <row r="30" spans="1:20">
      <c r="A30" s="128"/>
    </row>
    <row r="31" spans="1:20">
      <c r="A31" s="136" t="s">
        <v>47</v>
      </c>
      <c r="B31" s="72"/>
      <c r="C31" s="72"/>
      <c r="D31" s="78" t="s">
        <v>127</v>
      </c>
    </row>
    <row r="32" spans="1:20">
      <c r="A32" s="126" t="s">
        <v>32</v>
      </c>
      <c r="B32" s="75"/>
      <c r="C32" s="75"/>
      <c r="D32" s="74" t="s">
        <v>49</v>
      </c>
    </row>
    <row r="33" spans="1:20">
      <c r="A33" s="128"/>
      <c r="D33" s="149" t="s">
        <v>121</v>
      </c>
      <c r="F33" s="157"/>
      <c r="G33" s="75" t="str">
        <f>"SELECT 
 P1.BASE_D  
, P1.COMMODITY_CD
, P1.PRICE AS PRICE
FROM 
 T_PM_TRADE_PRICE  P1 "
&amp;"INNER JOIN (
 SELECT
  COMPANY_CD        
 , COMMODITY_CD        
 , BASE_D        
 , SESSION_CLS        
 , TRADE_CLS 
 , MAX(SUB_NO) AS SUB_NO "
&amp;"FROM
  T_PM_TRADE_PRICE        
  WHERE
  DELETE_FLG = 'N'       
  AND COMPANY_CD = CONVERT(CHAR(3),"&amp;$F$5&amp;")       
  AND BASE_D = '"&amp;TEXT($F$7,"YYYY/MM/DD")&amp;"'
  AND TRADE_CLS  = '1'
  AND PRICE_CLS  = '2'       "
&amp;"AND COMMODITY_CD = COMMODITY_CD        
  GROUP BY 
  COMPANY_CD,COMMODITY_CD,BASE_D,SESSION_CLS,TRADE_CLS )  P2        "
&amp;" ON  P1.COMPANY_CD = P2.COMPANY_CD        
 AND P1.COMMODITY_CD = P2.COMMODITY_CD
 AND P1.BASE_D = P2.BASE_D
 AND P1.SESSION_CLS = P2.SESSION_CLS
 AND P1.TRADE_CLS = P2.TRADE_CLS 
 AND P1.SUB_NO = P2.SUB_NO "&amp;" WHERE   
 P1.DELETE_FLG = 'N' 
order by P1.commodity_Cd"</f>
        <v>SELECT 
 P1.BASE_D  
, P1.COMMODITY_CD
, P1.PRICE AS PRICE
FROM 
 T_PM_TRADE_PRICE  P1 INNER JOIN (
 SELECT
  COMPANY_CD        
 , COMMODITY_CD        
 , BASE_D        
 , SESSION_CLS        
 , TRADE_CLS 
 , MAX(SUB_NO) AS SUB_NO FROM
  T_PM_TRADE_PRICE        
  WHERE
  DELETE_FLG = 'N'       
  AND COMPANY_CD = CONVERT(CHAR(3),101)       
  AND BASE_D = '2019/10/09'
  AND TRADE_CLS  = '1'
  AND PRICE_CLS  = '2'       AND COMMODITY_CD = COMMODITY_CD        
  GROUP BY 
  COMPANY_CD,COMMODITY_CD,BASE_D,SESSION_CLS,TRADE_CLS )  P2         ON  P1.COMPANY_CD = P2.COMPANY_CD        
 AND P1.COMMODITY_CD = P2.COMMODITY_CD
 AND P1.BASE_D = P2.BASE_D
 AND P1.SESSION_CLS = P2.SESSION_CLS
 AND P1.TRADE_CLS = P2.TRADE_CLS 
 AND P1.SUB_NO = P2.SUB_NO  WHERE   
 P1.DELETE_FLG = 'N' 
order by P1.commodity_Cd</v>
      </c>
    </row>
    <row r="34" spans="1:20">
      <c r="A34" s="128"/>
      <c r="D34" s="149" t="s">
        <v>100</v>
      </c>
    </row>
    <row r="35" spans="1:20">
      <c r="A35" s="128"/>
      <c r="D35" s="152" t="s">
        <v>84</v>
      </c>
      <c r="E35" s="152" t="s">
        <v>117</v>
      </c>
      <c r="F35" s="152" t="s">
        <v>124</v>
      </c>
      <c r="O35" s="146"/>
      <c r="P35" s="146"/>
      <c r="Q35" s="146"/>
      <c r="R35" s="146"/>
      <c r="S35" s="146"/>
    </row>
    <row r="36" spans="1:20">
      <c r="A36" s="128"/>
      <c r="D36" s="152" t="s">
        <v>85</v>
      </c>
      <c r="E36" s="152" t="s">
        <v>65</v>
      </c>
      <c r="F36" s="152" t="s">
        <v>125</v>
      </c>
      <c r="O36" s="146"/>
      <c r="P36" s="146"/>
      <c r="Q36" s="146"/>
      <c r="R36" s="146"/>
      <c r="S36" s="146"/>
    </row>
    <row r="37" spans="1:20">
      <c r="A37" s="128"/>
      <c r="D37" s="144">
        <v>43747</v>
      </c>
      <c r="E37" s="125" t="s">
        <v>122</v>
      </c>
      <c r="F37" s="164">
        <v>5616</v>
      </c>
      <c r="O37" s="146"/>
      <c r="P37" s="129"/>
      <c r="Q37" s="146"/>
      <c r="R37" s="129"/>
      <c r="S37" s="146"/>
    </row>
    <row r="38" spans="1:20">
      <c r="A38" s="128"/>
      <c r="D38" s="144">
        <v>43747</v>
      </c>
      <c r="E38" s="125" t="s">
        <v>123</v>
      </c>
      <c r="F38" s="164">
        <v>3319</v>
      </c>
      <c r="O38" s="146"/>
      <c r="P38" s="129"/>
      <c r="Q38" s="146"/>
      <c r="R38" s="129"/>
      <c r="S38" s="146"/>
    </row>
    <row r="39" spans="1:20">
      <c r="A39" s="128"/>
    </row>
    <row r="40" spans="1:20" s="73" customFormat="1">
      <c r="A40" s="126"/>
      <c r="B40" s="126"/>
      <c r="C40" s="126"/>
      <c r="D40" s="151"/>
      <c r="E40" s="140"/>
      <c r="F40" s="137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</row>
    <row r="41" spans="1:20">
      <c r="A41" s="136" t="s">
        <v>47</v>
      </c>
      <c r="B41" s="72"/>
      <c r="C41" s="72"/>
      <c r="D41" s="78" t="s">
        <v>128</v>
      </c>
    </row>
    <row r="42" spans="1:20">
      <c r="A42" s="126" t="s">
        <v>32</v>
      </c>
      <c r="B42" s="75"/>
      <c r="C42" s="75"/>
      <c r="D42" s="74" t="s">
        <v>49</v>
      </c>
    </row>
    <row r="43" spans="1:20">
      <c r="A43" s="128"/>
      <c r="D43" s="149" t="s">
        <v>121</v>
      </c>
      <c r="F43" s="157"/>
      <c r="G43" s="75" t="str">
        <f>"SELECT 
 P1.BASE_D  
, P1.COMMODITY_CD
, P1.PRICE AS PRICE
FROM 
 T_PM_TRADE_PRICE  P1 "
&amp;"INNER JOIN (
 SELECT
  COMPANY_CD        
 , COMMODITY_CD        
 , BASE_D        
 , SESSION_CLS        
 , TRADE_CLS 
 , MAX(SUB_NO) AS SUB_NO "
&amp;"FROM
  T_PM_TRADE_PRICE        
  WHERE
  DELETE_FLG = 'N'       
  AND COMPANY_CD = CONVERT(CHAR(3),"&amp;$F$5&amp;")       
  AND BASE_D = '"&amp;TEXT($F$6,"YYYY/MM/DD")&amp;"'
  AND TRADE_CLS  = '3'       "
&amp;"AND COMMODITY_CD = COMMODITY_CD        
  GROUP BY 
  COMPANY_CD,COMMODITY_CD,BASE_D,SESSION_CLS,TRADE_CLS )  P2        "
&amp;" ON  P1.COMPANY_CD = P2.COMPANY_CD        
 AND P1.COMMODITY_CD = P2.COMMODITY_CD
 AND P1.BASE_D = P2.BASE_D
 AND P1.SESSION_CLS = P2.SESSION_CLS
 AND P1.TRADE_CLS = P2.TRADE_CLS 
 AND P1.SUB_NO = P2.SUB_NO "&amp;" WHERE   
 P1.DELETE_FLG = 'N' 
order by P1.commodity_Cd"</f>
        <v>SELECT 
 P1.BASE_D  
, P1.COMMODITY_CD
, P1.PRICE AS PRICE
FROM 
 T_PM_TRADE_PRICE  P1 INNER JOIN (
 SELECT
  COMPANY_CD        
 , COMMODITY_CD        
 , BASE_D        
 , SESSION_CLS        
 , TRADE_CLS 
 , MAX(SUB_NO) AS SUB_NO FROM
  T_PM_TRADE_PRICE        
  WHERE
  DELETE_FLG = 'N'       
  AND COMPANY_CD = CONVERT(CHAR(3),101)       
  AND BASE_D = '2019/10/10'
  AND TRADE_CLS  = '3'       AND COMMODITY_CD = COMMODITY_CD        
  GROUP BY 
  COMPANY_CD,COMMODITY_CD,BASE_D,SESSION_CLS,TRADE_CLS )  P2         ON  P1.COMPANY_CD = P2.COMPANY_CD        
 AND P1.COMMODITY_CD = P2.COMMODITY_CD
 AND P1.BASE_D = P2.BASE_D
 AND P1.SESSION_CLS = P2.SESSION_CLS
 AND P1.TRADE_CLS = P2.TRADE_CLS 
 AND P1.SUB_NO = P2.SUB_NO  WHERE   
 P1.DELETE_FLG = 'N' 
order by P1.commodity_Cd</v>
      </c>
    </row>
    <row r="44" spans="1:20">
      <c r="A44" s="128"/>
      <c r="D44" s="149" t="s">
        <v>100</v>
      </c>
    </row>
    <row r="45" spans="1:20">
      <c r="A45" s="128"/>
      <c r="D45" s="152" t="s">
        <v>84</v>
      </c>
      <c r="E45" s="152" t="s">
        <v>117</v>
      </c>
      <c r="F45" s="152" t="s">
        <v>124</v>
      </c>
      <c r="O45" s="146"/>
      <c r="P45" s="146"/>
      <c r="Q45" s="146"/>
      <c r="R45" s="146"/>
      <c r="S45" s="146"/>
    </row>
    <row r="46" spans="1:20">
      <c r="A46" s="128"/>
      <c r="D46" s="152" t="s">
        <v>85</v>
      </c>
      <c r="E46" s="152" t="s">
        <v>65</v>
      </c>
      <c r="F46" s="152" t="s">
        <v>125</v>
      </c>
      <c r="O46" s="146"/>
      <c r="P46" s="146"/>
      <c r="Q46" s="146"/>
      <c r="R46" s="146"/>
      <c r="S46" s="146"/>
    </row>
    <row r="47" spans="1:20">
      <c r="A47" s="128"/>
      <c r="D47" s="144"/>
      <c r="E47" s="125"/>
      <c r="F47" s="113"/>
      <c r="O47" s="146"/>
      <c r="P47" s="129"/>
      <c r="Q47" s="146"/>
      <c r="R47" s="129"/>
      <c r="S47" s="146"/>
    </row>
    <row r="48" spans="1:20">
      <c r="A48" s="128"/>
      <c r="D48" s="144"/>
      <c r="E48" s="125"/>
      <c r="F48" s="113"/>
      <c r="O48" s="146"/>
      <c r="P48" s="129"/>
      <c r="Q48" s="146"/>
      <c r="R48" s="129"/>
      <c r="S48" s="146"/>
    </row>
    <row r="49" spans="1:19">
      <c r="A49" s="128"/>
    </row>
    <row r="50" spans="1:19">
      <c r="A50" s="128"/>
    </row>
    <row r="51" spans="1:19">
      <c r="A51" s="128"/>
    </row>
    <row r="52" spans="1:19">
      <c r="A52" s="128"/>
    </row>
    <row r="53" spans="1:19">
      <c r="A53" s="136" t="s">
        <v>47</v>
      </c>
      <c r="B53" s="72"/>
      <c r="C53" s="72"/>
      <c r="D53" s="78" t="s">
        <v>127</v>
      </c>
    </row>
    <row r="54" spans="1:19">
      <c r="A54" s="126" t="s">
        <v>32</v>
      </c>
      <c r="B54" s="75"/>
      <c r="C54" s="75"/>
      <c r="D54" s="74" t="s">
        <v>49</v>
      </c>
    </row>
    <row r="55" spans="1:19">
      <c r="A55" s="128"/>
      <c r="D55" s="149" t="s">
        <v>121</v>
      </c>
      <c r="F55" s="157"/>
      <c r="G55" s="75" t="str">
        <f>"SELECT 
 P1.BASE_D  
, P1.COMMODITY_CD
, P1.PRICE AS PRICE
FROM 
 T_PM_TRADE_PRICE  P1 "
&amp;"INNER JOIN (
 SELECT
  COMPANY_CD        
 , COMMODITY_CD        
 , BASE_D        
 , SESSION_CLS        
 , TRADE_CLS 
 , MAX(SUB_NO) AS SUB_NO "
&amp;"FROM
  T_PM_TRADE_PRICE        
  WHERE
  DELETE_FLG = 'N'       
  AND COMPANY_CD = CONVERT(CHAR(3),"&amp;F5&amp;")       
  AND BASE_D = '"&amp;TEXT(F7,"YYYY/MM/DD")&amp;"'
  AND TRADE_CLS  = '3'    
  AND PRICE_CLS  = '2'   "
&amp;"AND COMMODITY_CD = COMMODITY_CD        
  GROUP BY 
  COMPANY_CD,COMMODITY_CD,BASE_D,SESSION_CLS,TRADE_CLS )  P2        "
&amp;" ON  P1.COMPANY_CD = P2.COMPANY_CD        
 AND P1.COMMODITY_CD = P2.COMMODITY_CD
 AND P1.BASE_D = P2.BASE_D
 AND P1.SESSION_CLS = P2.SESSION_CLS
 AND P1.TRADE_CLS = P2.TRADE_CLS 
 AND P1.SUB_NO = P2.SUB_NO "&amp;" WHERE   
 P1.DELETE_FLG = 'N' 
order by P1.commodity_Cd"</f>
        <v>SELECT 
 P1.BASE_D  
, P1.COMMODITY_CD
, P1.PRICE AS PRICE
FROM 
 T_PM_TRADE_PRICE  P1 INNER JOIN (
 SELECT
  COMPANY_CD        
 , COMMODITY_CD        
 , BASE_D        
 , SESSION_CLS        
 , TRADE_CLS 
 , MAX(SUB_NO) AS SUB_NO FROM
  T_PM_TRADE_PRICE        
  WHERE
  DELETE_FLG = 'N'       
  AND COMPANY_CD = CONVERT(CHAR(3),101)       
  AND BASE_D = '2019/10/09'
  AND TRADE_CLS  = '3'    
  AND PRICE_CLS  = '2'   AND COMMODITY_CD = COMMODITY_CD        
  GROUP BY 
  COMPANY_CD,COMMODITY_CD,BASE_D,SESSION_CLS,TRADE_CLS )  P2         ON  P1.COMPANY_CD = P2.COMPANY_CD        
 AND P1.COMMODITY_CD = P2.COMMODITY_CD
 AND P1.BASE_D = P2.BASE_D
 AND P1.SESSION_CLS = P2.SESSION_CLS
 AND P1.TRADE_CLS = P2.TRADE_CLS 
 AND P1.SUB_NO = P2.SUB_NO  WHERE   
 P1.DELETE_FLG = 'N' 
order by P1.commodity_Cd</v>
      </c>
    </row>
    <row r="56" spans="1:19">
      <c r="A56" s="128"/>
      <c r="D56" s="149" t="s">
        <v>100</v>
      </c>
    </row>
    <row r="57" spans="1:19">
      <c r="A57" s="128"/>
      <c r="D57" s="152" t="s">
        <v>84</v>
      </c>
      <c r="E57" s="152" t="s">
        <v>117</v>
      </c>
      <c r="F57" s="152" t="s">
        <v>124</v>
      </c>
      <c r="O57" s="146"/>
      <c r="P57" s="146"/>
      <c r="Q57" s="146"/>
      <c r="R57" s="146"/>
      <c r="S57" s="146"/>
    </row>
    <row r="58" spans="1:19">
      <c r="A58" s="128"/>
      <c r="D58" s="152" t="s">
        <v>85</v>
      </c>
      <c r="E58" s="152" t="s">
        <v>65</v>
      </c>
      <c r="F58" s="152" t="s">
        <v>125</v>
      </c>
      <c r="O58" s="146"/>
      <c r="P58" s="146"/>
      <c r="Q58" s="146"/>
      <c r="R58" s="146"/>
      <c r="S58" s="146"/>
    </row>
    <row r="59" spans="1:19">
      <c r="A59" s="128"/>
      <c r="D59" s="144">
        <v>43747</v>
      </c>
      <c r="E59" s="125" t="s">
        <v>122</v>
      </c>
      <c r="F59" s="164">
        <v>5876</v>
      </c>
      <c r="O59" s="146"/>
      <c r="P59" s="129"/>
      <c r="Q59" s="146"/>
      <c r="R59" s="129"/>
      <c r="S59" s="146"/>
    </row>
    <row r="60" spans="1:19">
      <c r="A60" s="128"/>
      <c r="D60" s="144">
        <v>43747</v>
      </c>
      <c r="E60" s="125" t="s">
        <v>123</v>
      </c>
      <c r="F60" s="164">
        <v>3554</v>
      </c>
      <c r="O60" s="146"/>
      <c r="P60" s="129"/>
      <c r="Q60" s="146"/>
      <c r="R60" s="129"/>
      <c r="S60" s="146"/>
    </row>
    <row r="61" spans="1:19">
      <c r="A61" s="128"/>
    </row>
  </sheetData>
  <phoneticPr fontId="5"/>
  <dataValidations disablePrompts="1" count="1">
    <dataValidation type="list" allowBlank="1" showInputMessage="1" showErrorMessage="1" sqref="E2">
      <formula1>"StgA1,社内"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outlinePr summaryBelow="0" summaryRight="0"/>
  </sheetPr>
  <dimension ref="A1:AT43"/>
  <sheetViews>
    <sheetView showGridLines="0" tabSelected="1" view="pageBreakPreview" zoomScale="85" zoomScaleNormal="100" zoomScaleSheetLayoutView="85" workbookViewId="0">
      <pane ySplit="7" topLeftCell="A8" activePane="bottomLeft" state="frozen"/>
      <selection activeCell="Z36" sqref="Z36"/>
      <selection pane="bottomLeft" activeCell="R25" sqref="R25"/>
    </sheetView>
  </sheetViews>
  <sheetFormatPr defaultColWidth="2.125" defaultRowHeight="12" customHeight="1" outlineLevelCol="1"/>
  <cols>
    <col min="1" max="1" width="4.25" style="101" customWidth="1"/>
    <col min="2" max="4" width="6.375" style="101" customWidth="1"/>
    <col min="5" max="5" width="6.375" style="158" customWidth="1" collapsed="1"/>
    <col min="6" max="8" width="6.375" style="101" hidden="1" customWidth="1" outlineLevel="1"/>
    <col min="9" max="12" width="10.625" style="101" hidden="1" customWidth="1" outlineLevel="1"/>
    <col min="13" max="13" width="5.25" style="308" customWidth="1" collapsed="1"/>
    <col min="14" max="14" width="5" style="308" customWidth="1"/>
    <col min="15" max="16" width="5.25" style="308" customWidth="1"/>
    <col min="17" max="17" width="38.125" style="415" customWidth="1"/>
    <col min="18" max="18" width="53.875" style="415" customWidth="1"/>
    <col min="19" max="19" width="2.375" style="102" customWidth="1"/>
    <col min="20" max="20" width="2.875" style="102" customWidth="1"/>
    <col min="21" max="21" width="2.5" style="102" customWidth="1"/>
    <col min="22" max="22" width="4.25" style="102" customWidth="1"/>
    <col min="23" max="23" width="21.5" style="102" customWidth="1"/>
    <col min="24" max="24" width="20.75" style="102" customWidth="1"/>
    <col min="25" max="25" width="19.375" style="102" customWidth="1"/>
    <col min="26" max="26" width="16.125" style="102" customWidth="1"/>
    <col min="27" max="27" width="15.875" style="101" customWidth="1"/>
    <col min="28" max="28" width="19.375" style="101" customWidth="1"/>
    <col min="29" max="29" width="19.375" style="101" hidden="1" customWidth="1"/>
    <col min="30" max="30" width="20" style="101" customWidth="1"/>
    <col min="31" max="31" width="2.25" style="101" customWidth="1"/>
    <col min="32" max="32" width="4.625" style="101" customWidth="1"/>
    <col min="33" max="33" width="16.375" style="101" customWidth="1"/>
    <col min="34" max="59" width="4.625" style="101" customWidth="1"/>
    <col min="60" max="16384" width="2.125" style="101"/>
  </cols>
  <sheetData>
    <row r="1" spans="1:46" s="87" customFormat="1" ht="17.25" customHeight="1">
      <c r="A1" s="84"/>
      <c r="B1" s="85"/>
      <c r="C1" s="85"/>
      <c r="D1" s="85"/>
      <c r="E1" s="420" t="s">
        <v>35</v>
      </c>
      <c r="F1" s="86"/>
      <c r="G1" s="86"/>
      <c r="H1" s="86"/>
      <c r="I1" s="86"/>
      <c r="J1" s="86"/>
      <c r="K1" s="86"/>
      <c r="L1" s="86"/>
      <c r="M1" s="377" t="s">
        <v>183</v>
      </c>
      <c r="N1" s="378"/>
      <c r="O1" s="378"/>
      <c r="P1" s="378"/>
      <c r="Q1" s="378"/>
      <c r="R1" s="410" t="s">
        <v>272</v>
      </c>
      <c r="S1" s="119" t="s">
        <v>46</v>
      </c>
      <c r="T1" s="105"/>
      <c r="U1" s="105"/>
      <c r="V1" s="105"/>
      <c r="W1" s="105"/>
      <c r="X1" s="105"/>
      <c r="Y1" s="105"/>
      <c r="Z1" s="105"/>
      <c r="AA1" s="105"/>
      <c r="AB1" s="108"/>
      <c r="AC1" s="108"/>
      <c r="AD1" s="108"/>
      <c r="AE1" s="108"/>
    </row>
    <row r="2" spans="1:46" s="87" customFormat="1" ht="10.5" customHeight="1">
      <c r="A2" s="88"/>
      <c r="B2" s="89"/>
      <c r="C2" s="89"/>
      <c r="D2" s="90" t="s">
        <v>67</v>
      </c>
      <c r="E2" s="211" t="s">
        <v>68</v>
      </c>
      <c r="F2" s="212"/>
      <c r="G2" s="213" t="s">
        <v>36</v>
      </c>
      <c r="H2" s="212"/>
      <c r="I2" s="91"/>
      <c r="J2" s="91"/>
      <c r="K2" s="91"/>
      <c r="L2" s="91"/>
      <c r="M2" s="297"/>
      <c r="N2" s="338"/>
      <c r="O2" s="338"/>
      <c r="P2" s="338"/>
      <c r="Q2" s="338"/>
      <c r="R2" s="411"/>
      <c r="S2" s="120"/>
      <c r="T2" s="107"/>
      <c r="U2" s="108"/>
      <c r="V2" s="108"/>
      <c r="W2" s="108"/>
      <c r="X2" s="108"/>
      <c r="Y2" s="108"/>
      <c r="Z2" s="106"/>
      <c r="AA2" s="106"/>
      <c r="AB2" s="108"/>
      <c r="AC2" s="108"/>
      <c r="AD2" s="108"/>
      <c r="AE2" s="108"/>
    </row>
    <row r="3" spans="1:46" s="87" customFormat="1" ht="27" customHeight="1">
      <c r="A3" s="88"/>
      <c r="B3" s="89"/>
      <c r="C3" s="89"/>
      <c r="D3" s="90"/>
      <c r="E3" s="214"/>
      <c r="F3" s="216"/>
      <c r="G3" s="216"/>
      <c r="H3" s="216"/>
      <c r="I3" s="92"/>
      <c r="J3" s="92"/>
      <c r="K3" s="92"/>
      <c r="L3" s="92"/>
      <c r="M3" s="416" t="s">
        <v>276</v>
      </c>
      <c r="N3" s="379"/>
      <c r="O3" s="417" t="s">
        <v>277</v>
      </c>
      <c r="P3" s="419"/>
      <c r="Q3" s="422" t="s">
        <v>286</v>
      </c>
      <c r="R3" s="411"/>
      <c r="S3" s="120"/>
      <c r="T3" s="108"/>
      <c r="U3" s="186" t="s">
        <v>62</v>
      </c>
      <c r="V3" s="187"/>
      <c r="W3" s="188"/>
      <c r="X3" s="109" t="s">
        <v>69</v>
      </c>
      <c r="Y3" s="121">
        <v>101</v>
      </c>
      <c r="Z3" s="106"/>
      <c r="AA3" s="165" t="s">
        <v>142</v>
      </c>
      <c r="AB3" s="165" t="s">
        <v>153</v>
      </c>
      <c r="AC3" s="108"/>
      <c r="AD3" s="108"/>
      <c r="AE3" s="108"/>
    </row>
    <row r="4" spans="1:46" s="87" customFormat="1" ht="16.5" customHeight="1">
      <c r="A4" s="88"/>
      <c r="B4" s="89"/>
      <c r="C4" s="89"/>
      <c r="D4" s="90"/>
      <c r="E4" s="214"/>
      <c r="F4" s="216"/>
      <c r="G4" s="216"/>
      <c r="H4" s="216"/>
      <c r="I4" s="92"/>
      <c r="J4" s="92"/>
      <c r="K4" s="92"/>
      <c r="L4" s="92"/>
      <c r="M4" s="380" t="s">
        <v>274</v>
      </c>
      <c r="N4" s="381" t="s">
        <v>275</v>
      </c>
      <c r="O4" s="418" t="s">
        <v>278</v>
      </c>
      <c r="P4" s="418" t="s">
        <v>279</v>
      </c>
      <c r="Q4" s="423"/>
      <c r="R4" s="411"/>
      <c r="S4" s="120"/>
      <c r="T4" s="108"/>
      <c r="U4" s="186" t="s">
        <v>63</v>
      </c>
      <c r="V4" s="187"/>
      <c r="W4" s="188"/>
      <c r="X4" s="109" t="s">
        <v>70</v>
      </c>
      <c r="Y4" s="115" t="s">
        <v>150</v>
      </c>
      <c r="Z4" s="106"/>
      <c r="AA4" s="161">
        <f>IFERROR(VLOOKUP(T22,#REF!,2,FALSE),0)</f>
        <v>0</v>
      </c>
      <c r="AB4" s="161"/>
      <c r="AC4" s="108"/>
      <c r="AD4" s="108"/>
      <c r="AE4" s="108"/>
    </row>
    <row r="5" spans="1:46" s="87" customFormat="1" ht="16.5" customHeight="1">
      <c r="A5" s="88"/>
      <c r="B5" s="89"/>
      <c r="C5" s="89"/>
      <c r="D5" s="90"/>
      <c r="E5" s="214"/>
      <c r="F5" s="216"/>
      <c r="G5" s="216"/>
      <c r="H5" s="216"/>
      <c r="I5" s="92"/>
      <c r="J5" s="92"/>
      <c r="K5" s="92"/>
      <c r="L5" s="92"/>
      <c r="M5" s="380"/>
      <c r="N5" s="381"/>
      <c r="O5" s="381"/>
      <c r="P5" s="381"/>
      <c r="Q5" s="423"/>
      <c r="R5" s="411"/>
      <c r="S5" s="120"/>
      <c r="T5" s="108"/>
      <c r="U5" s="189" t="s">
        <v>64</v>
      </c>
      <c r="V5" s="189"/>
      <c r="W5" s="189"/>
      <c r="X5" s="109" t="s">
        <v>71</v>
      </c>
      <c r="Y5" s="115" t="s">
        <v>151</v>
      </c>
      <c r="Z5" s="106"/>
      <c r="AA5" s="106"/>
      <c r="AB5" s="108"/>
      <c r="AC5" s="108"/>
      <c r="AD5" s="108"/>
      <c r="AE5" s="108"/>
    </row>
    <row r="6" spans="1:46" s="87" customFormat="1" ht="16.5" customHeight="1">
      <c r="A6" s="88"/>
      <c r="B6" s="89"/>
      <c r="C6" s="89"/>
      <c r="D6" s="90"/>
      <c r="E6" s="214"/>
      <c r="F6" s="216"/>
      <c r="G6" s="216"/>
      <c r="H6" s="216"/>
      <c r="I6" s="92"/>
      <c r="J6" s="92"/>
      <c r="K6" s="92"/>
      <c r="L6" s="92"/>
      <c r="M6" s="380"/>
      <c r="N6" s="381"/>
      <c r="O6" s="381"/>
      <c r="P6" s="381"/>
      <c r="Q6" s="423"/>
      <c r="R6" s="411"/>
      <c r="S6" s="120"/>
      <c r="T6" s="108"/>
      <c r="U6" s="189" t="s">
        <v>101</v>
      </c>
      <c r="V6" s="189"/>
      <c r="W6" s="189"/>
      <c r="X6" s="109" t="s">
        <v>113</v>
      </c>
      <c r="Y6" s="118" t="str">
        <f>データ確認_Data!F8</f>
        <v>2019/10/15</v>
      </c>
      <c r="Z6" s="106"/>
      <c r="AA6" s="106"/>
      <c r="AB6" s="108"/>
      <c r="AC6" s="108"/>
      <c r="AD6" s="108"/>
      <c r="AE6" s="108"/>
    </row>
    <row r="7" spans="1:46" s="87" customFormat="1" ht="13.5">
      <c r="A7" s="93" t="s">
        <v>72</v>
      </c>
      <c r="B7" s="94" t="s">
        <v>37</v>
      </c>
      <c r="C7" s="94" t="s">
        <v>38</v>
      </c>
      <c r="D7" s="94" t="s">
        <v>39</v>
      </c>
      <c r="E7" s="215"/>
      <c r="F7" s="217"/>
      <c r="G7" s="217"/>
      <c r="H7" s="217"/>
      <c r="I7" s="95" t="s">
        <v>42</v>
      </c>
      <c r="J7" s="95" t="s">
        <v>43</v>
      </c>
      <c r="K7" s="95" t="s">
        <v>44</v>
      </c>
      <c r="L7" s="95" t="s">
        <v>45</v>
      </c>
      <c r="M7" s="380"/>
      <c r="N7" s="381"/>
      <c r="O7" s="382"/>
      <c r="P7" s="382"/>
      <c r="Q7" s="424"/>
      <c r="R7" s="412"/>
      <c r="S7" s="120"/>
      <c r="T7" s="106"/>
      <c r="U7" s="106"/>
      <c r="V7" s="106"/>
      <c r="W7" s="106"/>
      <c r="X7" s="106"/>
      <c r="Y7" s="106"/>
      <c r="Z7" s="106"/>
      <c r="AA7" s="106"/>
      <c r="AB7" s="108"/>
      <c r="AC7" s="108"/>
      <c r="AD7" s="108"/>
      <c r="AE7" s="108"/>
    </row>
    <row r="8" spans="1:46" ht="13.5" customHeight="1">
      <c r="A8" s="96">
        <f t="shared" ref="A8:A22" si="0">ROW()-7</f>
        <v>1</v>
      </c>
      <c r="B8" s="97" t="s">
        <v>32</v>
      </c>
      <c r="C8" s="97" t="s">
        <v>33</v>
      </c>
      <c r="D8" s="98" t="s">
        <v>34</v>
      </c>
      <c r="E8" s="421" t="s">
        <v>282</v>
      </c>
      <c r="F8" s="99"/>
      <c r="G8" s="99"/>
      <c r="H8" s="99"/>
      <c r="I8" s="99"/>
      <c r="J8" s="99"/>
      <c r="K8" s="99"/>
      <c r="L8" s="100"/>
      <c r="M8" s="383" t="s">
        <v>280</v>
      </c>
      <c r="N8" s="384"/>
      <c r="O8" s="409"/>
      <c r="P8" s="409"/>
      <c r="Q8" s="425"/>
      <c r="R8" s="414" t="s">
        <v>273</v>
      </c>
      <c r="S8" s="385"/>
      <c r="T8" s="386" t="s">
        <v>234</v>
      </c>
      <c r="U8" s="386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46" ht="13.5" customHeight="1">
      <c r="A9" s="96">
        <f t="shared" si="0"/>
        <v>2</v>
      </c>
      <c r="B9" s="97" t="s">
        <v>32</v>
      </c>
      <c r="C9" s="97" t="s">
        <v>33</v>
      </c>
      <c r="D9" s="98" t="s">
        <v>34</v>
      </c>
      <c r="E9" s="421" t="s">
        <v>283</v>
      </c>
      <c r="F9" s="99"/>
      <c r="G9" s="99"/>
      <c r="H9" s="99"/>
      <c r="I9" s="99"/>
      <c r="J9" s="99"/>
      <c r="K9" s="99"/>
      <c r="L9" s="100"/>
      <c r="M9" s="383" t="s">
        <v>281</v>
      </c>
      <c r="N9" s="384"/>
      <c r="O9" s="409"/>
      <c r="P9" s="409"/>
      <c r="Q9" s="425"/>
      <c r="R9" s="414" t="s">
        <v>273</v>
      </c>
      <c r="S9" s="387"/>
      <c r="T9" s="388"/>
      <c r="U9" s="386" t="s">
        <v>244</v>
      </c>
      <c r="V9" s="386" t="s">
        <v>245</v>
      </c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46" ht="13.5">
      <c r="A10" s="96">
        <f t="shared" si="0"/>
        <v>3</v>
      </c>
      <c r="B10" s="97" t="s">
        <v>32</v>
      </c>
      <c r="C10" s="97" t="s">
        <v>33</v>
      </c>
      <c r="D10" s="98" t="s">
        <v>34</v>
      </c>
      <c r="E10" s="421" t="s">
        <v>282</v>
      </c>
      <c r="F10" s="99"/>
      <c r="G10" s="99"/>
      <c r="H10" s="99"/>
      <c r="I10" s="99"/>
      <c r="J10" s="99"/>
      <c r="K10" s="99"/>
      <c r="L10" s="100"/>
      <c r="M10" s="383"/>
      <c r="N10" s="384" t="s">
        <v>281</v>
      </c>
      <c r="O10" s="409" t="s">
        <v>281</v>
      </c>
      <c r="P10" s="409"/>
      <c r="Q10" s="426" t="s">
        <v>291</v>
      </c>
      <c r="R10" s="414" t="s">
        <v>273</v>
      </c>
      <c r="S10" s="387"/>
      <c r="T10" s="388"/>
      <c r="U10" s="386" t="s">
        <v>235</v>
      </c>
      <c r="V10" s="386" t="s">
        <v>253</v>
      </c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</row>
    <row r="11" spans="1:46" ht="13.5" customHeight="1">
      <c r="A11" s="96">
        <f t="shared" si="0"/>
        <v>4</v>
      </c>
      <c r="B11" s="97" t="s">
        <v>32</v>
      </c>
      <c r="C11" s="97" t="s">
        <v>33</v>
      </c>
      <c r="D11" s="98" t="s">
        <v>34</v>
      </c>
      <c r="E11" s="421" t="s">
        <v>283</v>
      </c>
      <c r="F11" s="99"/>
      <c r="G11" s="99"/>
      <c r="H11" s="99"/>
      <c r="I11" s="99"/>
      <c r="J11" s="99"/>
      <c r="K11" s="99"/>
      <c r="L11" s="100"/>
      <c r="M11" s="383"/>
      <c r="N11" s="384" t="s">
        <v>281</v>
      </c>
      <c r="O11" s="409"/>
      <c r="P11" s="409" t="s">
        <v>281</v>
      </c>
      <c r="Q11" s="426" t="s">
        <v>292</v>
      </c>
      <c r="R11" s="414" t="s">
        <v>273</v>
      </c>
      <c r="S11" s="385"/>
      <c r="T11" s="388"/>
      <c r="U11" s="386" t="s">
        <v>236</v>
      </c>
      <c r="V11" s="386" t="s">
        <v>246</v>
      </c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</row>
    <row r="12" spans="1:46" ht="15" customHeight="1">
      <c r="A12" s="96">
        <f t="shared" si="0"/>
        <v>5</v>
      </c>
      <c r="B12" s="97" t="s">
        <v>32</v>
      </c>
      <c r="C12" s="97" t="s">
        <v>33</v>
      </c>
      <c r="D12" s="98" t="s">
        <v>34</v>
      </c>
      <c r="E12" s="421" t="s">
        <v>283</v>
      </c>
      <c r="F12" s="99"/>
      <c r="G12" s="99"/>
      <c r="H12" s="99"/>
      <c r="I12" s="99"/>
      <c r="J12" s="99"/>
      <c r="K12" s="99"/>
      <c r="L12" s="100"/>
      <c r="M12" s="383"/>
      <c r="N12" s="384" t="s">
        <v>281</v>
      </c>
      <c r="O12" s="409" t="s">
        <v>281</v>
      </c>
      <c r="P12" s="409" t="s">
        <v>284</v>
      </c>
      <c r="Q12" s="426" t="s">
        <v>287</v>
      </c>
      <c r="R12" s="413" t="s">
        <v>285</v>
      </c>
      <c r="S12" s="387"/>
      <c r="T12" s="388"/>
      <c r="U12" s="386" t="s">
        <v>237</v>
      </c>
      <c r="V12" s="386" t="s">
        <v>247</v>
      </c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</row>
    <row r="13" spans="1:46" ht="13.5">
      <c r="A13" s="96">
        <f t="shared" si="0"/>
        <v>6</v>
      </c>
      <c r="B13" s="97" t="s">
        <v>32</v>
      </c>
      <c r="C13" s="97" t="s">
        <v>33</v>
      </c>
      <c r="D13" s="98" t="s">
        <v>34</v>
      </c>
      <c r="E13" s="421" t="s">
        <v>283</v>
      </c>
      <c r="F13" s="99"/>
      <c r="G13" s="99"/>
      <c r="H13" s="99"/>
      <c r="I13" s="99"/>
      <c r="J13" s="99"/>
      <c r="K13" s="99"/>
      <c r="L13" s="100"/>
      <c r="M13" s="383"/>
      <c r="N13" s="384" t="s">
        <v>281</v>
      </c>
      <c r="O13" s="409" t="s">
        <v>281</v>
      </c>
      <c r="P13" s="409" t="s">
        <v>284</v>
      </c>
      <c r="Q13" s="426" t="s">
        <v>288</v>
      </c>
      <c r="R13" s="413" t="s">
        <v>289</v>
      </c>
      <c r="S13" s="387"/>
      <c r="T13" s="388"/>
      <c r="U13" s="386" t="s">
        <v>238</v>
      </c>
      <c r="V13" s="386" t="s">
        <v>248</v>
      </c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88"/>
      <c r="AH13" s="388"/>
      <c r="AI13" s="388"/>
      <c r="AJ13" s="388"/>
      <c r="AK13" s="388"/>
      <c r="AL13" s="388"/>
      <c r="AM13" s="388"/>
      <c r="AN13" s="388"/>
      <c r="AO13" s="388"/>
      <c r="AP13" s="388"/>
      <c r="AQ13" s="388"/>
      <c r="AR13" s="388"/>
      <c r="AS13" s="388"/>
      <c r="AT13" s="31"/>
    </row>
    <row r="14" spans="1:46" ht="13.5">
      <c r="A14" s="96">
        <f t="shared" si="0"/>
        <v>7</v>
      </c>
      <c r="B14" s="97" t="s">
        <v>32</v>
      </c>
      <c r="C14" s="97" t="s">
        <v>33</v>
      </c>
      <c r="D14" s="98" t="s">
        <v>34</v>
      </c>
      <c r="E14" s="421" t="s">
        <v>283</v>
      </c>
      <c r="F14" s="99"/>
      <c r="G14" s="99"/>
      <c r="H14" s="99"/>
      <c r="I14" s="99"/>
      <c r="J14" s="99"/>
      <c r="K14" s="99"/>
      <c r="L14" s="100"/>
      <c r="M14" s="383"/>
      <c r="N14" s="384" t="s">
        <v>281</v>
      </c>
      <c r="O14" s="409" t="s">
        <v>281</v>
      </c>
      <c r="P14" s="409"/>
      <c r="Q14" s="426" t="s">
        <v>293</v>
      </c>
      <c r="R14" s="413" t="s">
        <v>289</v>
      </c>
      <c r="S14" s="387"/>
      <c r="T14" s="388"/>
      <c r="U14" s="386" t="s">
        <v>239</v>
      </c>
      <c r="V14" s="388" t="s">
        <v>249</v>
      </c>
      <c r="W14" s="388"/>
      <c r="X14" s="388"/>
      <c r="Y14" s="388"/>
      <c r="Z14" s="388"/>
      <c r="AA14" s="388"/>
      <c r="AB14" s="388"/>
      <c r="AC14" s="388"/>
      <c r="AD14" s="388"/>
      <c r="AE14" s="388"/>
      <c r="AF14" s="388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72"/>
    </row>
    <row r="15" spans="1:46" ht="13.5">
      <c r="A15" s="96">
        <f t="shared" si="0"/>
        <v>8</v>
      </c>
      <c r="B15" s="97" t="s">
        <v>32</v>
      </c>
      <c r="C15" s="97" t="s">
        <v>33</v>
      </c>
      <c r="D15" s="98" t="s">
        <v>34</v>
      </c>
      <c r="E15" s="421" t="s">
        <v>283</v>
      </c>
      <c r="F15" s="99"/>
      <c r="G15" s="99"/>
      <c r="H15" s="99"/>
      <c r="I15" s="99"/>
      <c r="J15" s="99"/>
      <c r="K15" s="99"/>
      <c r="L15" s="100"/>
      <c r="M15" s="383"/>
      <c r="N15" s="384" t="s">
        <v>281</v>
      </c>
      <c r="O15" s="409"/>
      <c r="P15" s="409" t="s">
        <v>281</v>
      </c>
      <c r="Q15" s="426" t="s">
        <v>287</v>
      </c>
      <c r="R15" s="413" t="s">
        <v>285</v>
      </c>
      <c r="S15" s="389"/>
      <c r="T15" s="388"/>
      <c r="U15" s="386" t="s">
        <v>240</v>
      </c>
      <c r="V15" s="386" t="s">
        <v>250</v>
      </c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88"/>
    </row>
    <row r="16" spans="1:46" ht="13.5">
      <c r="A16" s="96">
        <f t="shared" si="0"/>
        <v>9</v>
      </c>
      <c r="B16" s="97" t="s">
        <v>32</v>
      </c>
      <c r="C16" s="97" t="s">
        <v>33</v>
      </c>
      <c r="D16" s="98" t="s">
        <v>34</v>
      </c>
      <c r="E16" s="421" t="s">
        <v>296</v>
      </c>
      <c r="F16" s="99"/>
      <c r="G16" s="99"/>
      <c r="H16" s="99"/>
      <c r="I16" s="99"/>
      <c r="J16" s="99"/>
      <c r="K16" s="99"/>
      <c r="L16" s="100"/>
      <c r="M16" s="383"/>
      <c r="N16" s="384" t="s">
        <v>281</v>
      </c>
      <c r="O16" s="409"/>
      <c r="P16" s="409" t="s">
        <v>281</v>
      </c>
      <c r="Q16" s="426" t="s">
        <v>288</v>
      </c>
      <c r="R16" s="413" t="s">
        <v>289</v>
      </c>
      <c r="S16" s="389"/>
      <c r="T16" s="388"/>
      <c r="U16" s="388" t="s">
        <v>241</v>
      </c>
      <c r="V16" s="386" t="s">
        <v>260</v>
      </c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</row>
    <row r="17" spans="1:32" ht="13.5">
      <c r="A17" s="96">
        <f t="shared" si="0"/>
        <v>10</v>
      </c>
      <c r="B17" s="116" t="s">
        <v>32</v>
      </c>
      <c r="C17" s="116" t="s">
        <v>33</v>
      </c>
      <c r="D17" s="98" t="s">
        <v>34</v>
      </c>
      <c r="E17" s="421" t="s">
        <v>283</v>
      </c>
      <c r="F17" s="117"/>
      <c r="G17" s="117"/>
      <c r="H17" s="117"/>
      <c r="I17" s="117"/>
      <c r="J17" s="117"/>
      <c r="K17" s="117"/>
      <c r="L17" s="100"/>
      <c r="M17" s="383"/>
      <c r="N17" s="384" t="s">
        <v>281</v>
      </c>
      <c r="O17" s="409"/>
      <c r="P17" s="409" t="s">
        <v>281</v>
      </c>
      <c r="Q17" s="426" t="s">
        <v>294</v>
      </c>
      <c r="R17" s="413" t="s">
        <v>297</v>
      </c>
      <c r="S17" s="389"/>
      <c r="T17" s="388"/>
      <c r="U17" s="386" t="s">
        <v>242</v>
      </c>
      <c r="V17" s="386" t="s">
        <v>295</v>
      </c>
      <c r="W17" s="31"/>
      <c r="X17" s="31"/>
      <c r="Y17" s="31"/>
      <c r="Z17" s="31"/>
      <c r="AA17" s="31"/>
      <c r="AB17" s="31"/>
      <c r="AC17" s="31"/>
      <c r="AD17" s="31"/>
      <c r="AE17" s="31"/>
      <c r="AF17" s="31"/>
    </row>
    <row r="18" spans="1:32" ht="13.5">
      <c r="A18" s="96">
        <f t="shared" si="0"/>
        <v>11</v>
      </c>
      <c r="B18" s="116" t="s">
        <v>32</v>
      </c>
      <c r="C18" s="116" t="s">
        <v>33</v>
      </c>
      <c r="D18" s="98" t="s">
        <v>34</v>
      </c>
      <c r="E18" s="421" t="s">
        <v>296</v>
      </c>
      <c r="F18" s="117"/>
      <c r="G18" s="117"/>
      <c r="H18" s="117"/>
      <c r="I18" s="117"/>
      <c r="J18" s="117"/>
      <c r="K18" s="117"/>
      <c r="L18" s="100"/>
      <c r="M18" s="383"/>
      <c r="N18" s="384" t="s">
        <v>281</v>
      </c>
      <c r="O18" s="409"/>
      <c r="P18" s="409" t="s">
        <v>281</v>
      </c>
      <c r="Q18" s="426" t="s">
        <v>288</v>
      </c>
      <c r="R18" s="413" t="s">
        <v>289</v>
      </c>
      <c r="S18" s="389"/>
      <c r="T18" s="395" t="s">
        <v>243</v>
      </c>
      <c r="U18" s="396"/>
      <c r="V18" s="396"/>
      <c r="W18" s="396"/>
      <c r="X18" s="429" t="s">
        <v>251</v>
      </c>
      <c r="Y18" s="427">
        <f>SUM(AB22:AB25)</f>
        <v>-136</v>
      </c>
      <c r="Z18" s="429" t="s">
        <v>252</v>
      </c>
      <c r="AA18" s="431">
        <f>ROUNDDOWN(Y18/SUM(AC22:AC25)*100,2)</f>
        <v>-6.46</v>
      </c>
      <c r="AB18" s="397" t="s">
        <v>254</v>
      </c>
      <c r="AC18" s="398"/>
      <c r="AD18" s="427">
        <f>SUM(AA22:AA25)</f>
        <v>1965</v>
      </c>
    </row>
    <row r="19" spans="1:32" ht="13.5">
      <c r="S19" s="389"/>
      <c r="T19" s="399"/>
      <c r="U19" s="400"/>
      <c r="V19" s="400"/>
      <c r="W19" s="400"/>
      <c r="X19" s="430"/>
      <c r="Y19" s="428"/>
      <c r="Z19" s="430"/>
      <c r="AA19" s="432"/>
      <c r="AB19" s="401"/>
      <c r="AC19" s="402"/>
      <c r="AD19" s="428"/>
    </row>
    <row r="20" spans="1:32" ht="12" customHeight="1">
      <c r="S20" s="389"/>
      <c r="T20" s="390" t="s">
        <v>130</v>
      </c>
      <c r="U20" s="391"/>
      <c r="V20" s="391"/>
      <c r="W20" s="392"/>
      <c r="X20" s="393" t="s">
        <v>255</v>
      </c>
      <c r="Y20" s="393" t="s">
        <v>256</v>
      </c>
      <c r="Z20" s="393" t="s">
        <v>257</v>
      </c>
      <c r="AA20" s="393" t="s">
        <v>258</v>
      </c>
      <c r="AB20" s="393" t="s">
        <v>259</v>
      </c>
      <c r="AC20" s="393" t="s">
        <v>155</v>
      </c>
      <c r="AD20" s="394" t="s">
        <v>261</v>
      </c>
    </row>
    <row r="21" spans="1:32" ht="12" customHeight="1">
      <c r="S21" s="389"/>
      <c r="T21" s="220"/>
      <c r="U21" s="221"/>
      <c r="V21" s="221"/>
      <c r="W21" s="222"/>
      <c r="X21" s="219"/>
      <c r="Y21" s="218"/>
      <c r="Z21" s="218"/>
      <c r="AA21" s="218"/>
      <c r="AB21" s="218"/>
      <c r="AC21" s="218"/>
      <c r="AD21" s="219"/>
    </row>
    <row r="22" spans="1:32" ht="12" customHeight="1">
      <c r="S22" s="389"/>
      <c r="T22" s="162">
        <v>11</v>
      </c>
      <c r="U22" s="223" t="s">
        <v>81</v>
      </c>
      <c r="V22" s="223"/>
      <c r="W22" s="197"/>
      <c r="X22" s="225">
        <f>IF(VLOOKUP(T22,データ確認_Data!$H$27:$I$28,2,FALSE)=0,"0",ROUNDDOWN(VLOOKUP(T22,データ確認_Data!$H$27:$I$28,2,FALSE),5))</f>
        <v>0.10968</v>
      </c>
      <c r="Y22" s="227">
        <f>IF(X22="0","0",VLOOKUP(T22,データ確認_Data!$H$27:$K$28,4,FALSE))</f>
        <v>5727</v>
      </c>
      <c r="Z22" s="229">
        <f>価格取得!G13</f>
        <v>5616</v>
      </c>
      <c r="AA22" s="229">
        <f>IF(X22="0","0",ROUNDDOWN(X22*Z22,0))</f>
        <v>615</v>
      </c>
      <c r="AB22" s="229">
        <f>IF(X22="0","0",ROUNDDOWN((Z22-Y22)*X22,0))</f>
        <v>-12</v>
      </c>
      <c r="AC22" s="229">
        <f>VLOOKUP(T22,データ確認_Data!$H$27:$J$28,3,FALSE)</f>
        <v>629</v>
      </c>
      <c r="AD22" s="231">
        <f>IF(X22=0,0,ROUNDDOWN((Z22-Y22)*X22/AC22*100,2))</f>
        <v>-1.93</v>
      </c>
    </row>
    <row r="23" spans="1:32" ht="12" customHeight="1">
      <c r="S23" s="389"/>
      <c r="T23" s="160"/>
      <c r="U23" s="224"/>
      <c r="V23" s="224"/>
      <c r="W23" s="201"/>
      <c r="X23" s="226"/>
      <c r="Y23" s="228"/>
      <c r="Z23" s="230"/>
      <c r="AA23" s="230"/>
      <c r="AB23" s="230"/>
      <c r="AC23" s="230"/>
      <c r="AD23" s="232"/>
    </row>
    <row r="24" spans="1:32" ht="12" customHeight="1">
      <c r="S24" s="389"/>
      <c r="T24" s="162">
        <v>12</v>
      </c>
      <c r="U24" s="223" t="s">
        <v>141</v>
      </c>
      <c r="V24" s="223"/>
      <c r="W24" s="197"/>
      <c r="X24" s="225">
        <f>IF(VLOOKUP(T24,データ確認_Data!$H$27:$I$28,2,FALSE)=0,"0",ROUNDDOWN(VLOOKUP(T24,データ確認_Data!$H$27:$I$28,2,FALSE),5))</f>
        <v>0.40686</v>
      </c>
      <c r="Y24" s="227">
        <f>IF(X24="0","0",VLOOKUP(T24,データ確認_Data!$H$27:$K$28,4,FALSE))</f>
        <v>3624.3834000000002</v>
      </c>
      <c r="Z24" s="229">
        <f>価格取得!G17</f>
        <v>3319</v>
      </c>
      <c r="AA24" s="229">
        <f>IF(X24=0,0,ROUNDDOWN(X24*Z24,0))</f>
        <v>1350</v>
      </c>
      <c r="AB24" s="229">
        <f>IF(X24=0,0,ROUNDDOWN((Z24-Y24)*X24,0))</f>
        <v>-124</v>
      </c>
      <c r="AC24" s="229">
        <f>VLOOKUP(T24,データ確認_Data!$H$27:$J$28,3,FALSE)</f>
        <v>1475</v>
      </c>
      <c r="AD24" s="231">
        <f>IF(X24=0,0,ROUNDDOWN((Z24-Y24)*X24/AC24*100,2))</f>
        <v>-8.42</v>
      </c>
    </row>
    <row r="25" spans="1:32" ht="12" customHeight="1">
      <c r="S25" s="389"/>
      <c r="T25" s="163"/>
      <c r="U25" s="224"/>
      <c r="V25" s="224"/>
      <c r="W25" s="201"/>
      <c r="X25" s="226"/>
      <c r="Y25" s="228"/>
      <c r="Z25" s="230"/>
      <c r="AA25" s="230"/>
      <c r="AB25" s="230"/>
      <c r="AC25" s="230"/>
      <c r="AD25" s="232"/>
    </row>
    <row r="30" spans="1:32" ht="12" customHeight="1">
      <c r="T30" s="101"/>
      <c r="U30" s="101"/>
      <c r="V30" s="101"/>
      <c r="W30" s="101"/>
      <c r="X30" s="101"/>
      <c r="Y30" s="101"/>
      <c r="Z30" s="101"/>
    </row>
    <row r="31" spans="1:32" ht="12" customHeight="1">
      <c r="T31" s="101"/>
      <c r="U31" s="101"/>
      <c r="V31" s="101"/>
      <c r="W31" s="101"/>
      <c r="X31" s="101"/>
      <c r="Y31" s="101"/>
      <c r="Z31" s="101"/>
    </row>
    <row r="34" spans="20:26" ht="12" customHeight="1">
      <c r="T34" s="101"/>
      <c r="U34" s="101"/>
      <c r="V34" s="101"/>
      <c r="W34" s="101"/>
      <c r="X34" s="101"/>
      <c r="Y34" s="101"/>
      <c r="Z34" s="101"/>
    </row>
    <row r="35" spans="20:26" ht="12" customHeight="1">
      <c r="T35" s="101"/>
      <c r="U35" s="101"/>
      <c r="V35" s="101"/>
      <c r="W35" s="101"/>
      <c r="X35" s="101"/>
      <c r="Y35" s="101"/>
      <c r="Z35" s="101"/>
    </row>
    <row r="36" spans="20:26" ht="12" customHeight="1">
      <c r="T36" s="101"/>
      <c r="U36" s="101"/>
      <c r="V36" s="101"/>
      <c r="W36" s="101"/>
      <c r="X36" s="101"/>
      <c r="Y36" s="101"/>
      <c r="Z36" s="101"/>
    </row>
    <row r="37" spans="20:26" ht="12" customHeight="1">
      <c r="T37" s="101"/>
      <c r="U37" s="101"/>
      <c r="V37" s="101"/>
      <c r="W37" s="101"/>
      <c r="X37" s="101"/>
      <c r="Y37" s="101"/>
      <c r="Z37" s="101"/>
    </row>
    <row r="38" spans="20:26" ht="12" customHeight="1">
      <c r="T38" s="101"/>
      <c r="U38" s="101"/>
      <c r="V38" s="101"/>
      <c r="W38" s="101"/>
      <c r="X38" s="101"/>
      <c r="Y38" s="101"/>
      <c r="Z38" s="101"/>
    </row>
    <row r="39" spans="20:26" ht="12" customHeight="1">
      <c r="T39" s="101"/>
      <c r="U39" s="101"/>
      <c r="V39" s="101"/>
      <c r="W39" s="101"/>
      <c r="X39" s="101"/>
      <c r="Y39" s="101"/>
      <c r="Z39" s="101"/>
    </row>
    <row r="40" spans="20:26" ht="12" customHeight="1">
      <c r="T40" s="101"/>
      <c r="U40" s="101"/>
      <c r="V40" s="101"/>
      <c r="W40" s="101"/>
      <c r="X40" s="101"/>
      <c r="Y40" s="101"/>
      <c r="Z40" s="101"/>
    </row>
    <row r="41" spans="20:26" ht="12" customHeight="1">
      <c r="T41" s="101"/>
      <c r="U41" s="101"/>
      <c r="V41" s="101"/>
      <c r="W41" s="101"/>
      <c r="X41" s="101"/>
      <c r="Y41" s="101"/>
      <c r="Z41" s="101"/>
    </row>
    <row r="42" spans="20:26" ht="12" customHeight="1">
      <c r="T42" s="101"/>
      <c r="U42" s="101"/>
      <c r="V42" s="101"/>
      <c r="W42" s="101"/>
      <c r="X42" s="101"/>
      <c r="Y42" s="101"/>
      <c r="Z42" s="101"/>
    </row>
    <row r="43" spans="20:26" ht="12" customHeight="1">
      <c r="T43" s="101"/>
      <c r="U43" s="101"/>
      <c r="V43" s="101"/>
      <c r="W43" s="101"/>
      <c r="X43" s="101"/>
      <c r="Y43" s="101"/>
      <c r="Z43" s="101"/>
    </row>
  </sheetData>
  <mergeCells count="50">
    <mergeCell ref="R1:R7"/>
    <mergeCell ref="O3:P3"/>
    <mergeCell ref="O4:O7"/>
    <mergeCell ref="P4:P7"/>
    <mergeCell ref="E2:F2"/>
    <mergeCell ref="G2:H2"/>
    <mergeCell ref="E3:E7"/>
    <mergeCell ref="F3:F7"/>
    <mergeCell ref="G3:G7"/>
    <mergeCell ref="M1:Q2"/>
    <mergeCell ref="M3:N3"/>
    <mergeCell ref="Q3:Q7"/>
    <mergeCell ref="M4:M7"/>
    <mergeCell ref="N4:N7"/>
    <mergeCell ref="H3:H7"/>
    <mergeCell ref="U3:W3"/>
    <mergeCell ref="U4:W4"/>
    <mergeCell ref="U5:W5"/>
    <mergeCell ref="AA22:AA23"/>
    <mergeCell ref="AB22:AB23"/>
    <mergeCell ref="AD22:AD23"/>
    <mergeCell ref="U6:W6"/>
    <mergeCell ref="T20:W21"/>
    <mergeCell ref="X20:X21"/>
    <mergeCell ref="Y20:Y21"/>
    <mergeCell ref="Z20:Z21"/>
    <mergeCell ref="AA20:AA21"/>
    <mergeCell ref="T18:W19"/>
    <mergeCell ref="X18:X19"/>
    <mergeCell ref="Y18:Y19"/>
    <mergeCell ref="Z18:Z19"/>
    <mergeCell ref="AB18:AB19"/>
    <mergeCell ref="AA18:AA19"/>
    <mergeCell ref="AD18:AD19"/>
    <mergeCell ref="AD24:AD25"/>
    <mergeCell ref="AC20:AC21"/>
    <mergeCell ref="AC22:AC23"/>
    <mergeCell ref="AC24:AC25"/>
    <mergeCell ref="U24:W25"/>
    <mergeCell ref="X24:X25"/>
    <mergeCell ref="Y24:Y25"/>
    <mergeCell ref="Z24:Z25"/>
    <mergeCell ref="AA24:AA25"/>
    <mergeCell ref="AB24:AB25"/>
    <mergeCell ref="AB20:AB21"/>
    <mergeCell ref="AD20:AD21"/>
    <mergeCell ref="U22:W23"/>
    <mergeCell ref="X22:X23"/>
    <mergeCell ref="Y22:Y23"/>
    <mergeCell ref="Z22:Z23"/>
  </mergeCells>
  <phoneticPr fontId="5"/>
  <conditionalFormatting sqref="A8:L8 A23:L25 B11:D13 F11:L13 B19:L22 B9:L9 A9:A22 B15:D18 F15:L18">
    <cfRule type="expression" dxfId="184" priority="144" stopIfTrue="1">
      <formula>$B8="×"</formula>
    </cfRule>
  </conditionalFormatting>
  <conditionalFormatting sqref="B10:D10 F10:L10">
    <cfRule type="expression" dxfId="183" priority="140" stopIfTrue="1">
      <formula>$B10="×"</formula>
    </cfRule>
  </conditionalFormatting>
  <conditionalFormatting sqref="B14:D14">
    <cfRule type="expression" dxfId="182" priority="136" stopIfTrue="1">
      <formula>$B14="×"</formula>
    </cfRule>
  </conditionalFormatting>
  <conditionalFormatting sqref="S12">
    <cfRule type="expression" dxfId="167" priority="103" stopIfTrue="1">
      <formula>#REF!="×"</formula>
    </cfRule>
  </conditionalFormatting>
  <conditionalFormatting sqref="S9">
    <cfRule type="expression" dxfId="166" priority="102" stopIfTrue="1">
      <formula>#REF!="×"</formula>
    </cfRule>
  </conditionalFormatting>
  <conditionalFormatting sqref="E10:E11">
    <cfRule type="expression" dxfId="139" priority="55" stopIfTrue="1">
      <formula>$B10="×"</formula>
    </cfRule>
  </conditionalFormatting>
  <conditionalFormatting sqref="E12">
    <cfRule type="expression" dxfId="138" priority="54" stopIfTrue="1">
      <formula>$B12="×"</formula>
    </cfRule>
  </conditionalFormatting>
  <conditionalFormatting sqref="E13">
    <cfRule type="expression" dxfId="129" priority="37" stopIfTrue="1">
      <formula>$B13="×"</formula>
    </cfRule>
  </conditionalFormatting>
  <conditionalFormatting sqref="F14:L14">
    <cfRule type="expression" dxfId="128" priority="36" stopIfTrue="1">
      <formula>$B14="×"</formula>
    </cfRule>
  </conditionalFormatting>
  <conditionalFormatting sqref="E14">
    <cfRule type="expression" dxfId="124" priority="24" stopIfTrue="1">
      <formula>$B14="×"</formula>
    </cfRule>
  </conditionalFormatting>
  <conditionalFormatting sqref="E18">
    <cfRule type="expression" dxfId="109" priority="7" stopIfTrue="1">
      <formula>$B18="×"</formula>
    </cfRule>
  </conditionalFormatting>
  <conditionalFormatting sqref="E15">
    <cfRule type="expression" dxfId="106" priority="4" stopIfTrue="1">
      <formula>$B15="×"</formula>
    </cfRule>
  </conditionalFormatting>
  <conditionalFormatting sqref="E16">
    <cfRule type="expression" dxfId="105" priority="3" stopIfTrue="1">
      <formula>$B16="×"</formula>
    </cfRule>
  </conditionalFormatting>
  <conditionalFormatting sqref="E17">
    <cfRule type="expression" dxfId="104" priority="2" stopIfTrue="1">
      <formula>$B17="×"</formula>
    </cfRule>
  </conditionalFormatting>
  <conditionalFormatting sqref="E1:E1048576">
    <cfRule type="containsText" dxfId="0" priority="1" operator="containsText" text="NG">
      <formula>NOT(ISERROR(SEARCH("NG",E1)))</formula>
    </cfRule>
  </conditionalFormatting>
  <dataValidations count="5">
    <dataValidation type="list" allowBlank="1" showInputMessage="1" showErrorMessage="1" sqref="E8:E18">
      <formula1>"OK,NG"</formula1>
    </dataValidation>
    <dataValidation type="list" allowBlank="1" showInputMessage="1" showErrorMessage="1" sqref="D8:D18">
      <formula1>"正常系,異常系"</formula1>
    </dataValidation>
    <dataValidation type="list" allowBlank="1" showInputMessage="1" showErrorMessage="1" sqref="C8:C18">
      <formula1>"修正,デグレ"</formula1>
    </dataValidation>
    <dataValidation type="list" allowBlank="1" showInputMessage="1" showErrorMessage="1" sqref="B8:B18">
      <formula1>"○,×"</formula1>
    </dataValidation>
    <dataValidation type="list" allowBlank="1" showInputMessage="1" showErrorMessage="1" sqref="G8:H18">
      <formula1>"－,同,異"</formula1>
    </dataValidation>
  </dataValidations>
  <pageMargins left="0.51181102362204722" right="0.19685039370078741" top="0.47244094488188981" bottom="0.39370078740157483" header="0.27559055118110237" footer="0.19685039370078741"/>
  <pageSetup paperSize="9" scale="49" orientation="landscape" r:id="rId1"/>
  <headerFooter alignWithMargins="0">
    <oddFooter>&amp;C&amp;P/&amp;N</oddFooter>
  </headerFooter>
  <colBreaks count="1" manualBreakCount="1">
    <brk id="18" max="25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getsheetsdata.getsheetsdata">
                <anchor moveWithCells="1" sizeWithCells="1">
                  <from>
                    <xdr:col>21</xdr:col>
                    <xdr:colOff>95250</xdr:colOff>
                    <xdr:row>0</xdr:row>
                    <xdr:rowOff>66675</xdr:rowOff>
                  </from>
                  <to>
                    <xdr:col>22</xdr:col>
                    <xdr:colOff>619125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8" stopIfTrue="1" id="{34EFA71F-0331-404B-98F9-745D9F49DAAE}">
            <xm:f>#REF!="×"</xm:f>
            <x14:dxf>
              <fill>
                <patternFill>
                  <bgColor indexed="55"/>
                </patternFill>
              </fill>
            </x14:dxf>
          </x14:cfRule>
          <xm:sqref>M11 O11 M8:Q8</xm:sqref>
        </x14:conditionalFormatting>
        <x14:conditionalFormatting xmlns:xm="http://schemas.microsoft.com/office/excel/2006/main">
          <x14:cfRule type="expression" priority="129" stopIfTrue="1" id="{9C178405-5619-445B-A35A-CED77AC75E7F}">
            <xm:f>#REF!="×"</xm:f>
            <x14:dxf>
              <fill>
                <patternFill>
                  <bgColor indexed="55"/>
                </patternFill>
              </fill>
            </x14:dxf>
          </x14:cfRule>
          <xm:sqref>N21:P22 O19:P20 N9:P10 P14:Q14 P10:Q10 Q12 O15:O18</xm:sqref>
        </x14:conditionalFormatting>
        <x14:conditionalFormatting xmlns:xm="http://schemas.microsoft.com/office/excel/2006/main">
          <x14:cfRule type="expression" priority="130" stopIfTrue="1" id="{4F17A44B-B722-4FEF-9C59-F295CD4C6C1B}">
            <xm:f>#REF!="×"</xm:f>
            <x14:dxf>
              <fill>
                <patternFill>
                  <bgColor indexed="55"/>
                </patternFill>
              </fill>
            </x14:dxf>
          </x14:cfRule>
          <xm:sqref>Q13</xm:sqref>
        </x14:conditionalFormatting>
        <x14:conditionalFormatting xmlns:xm="http://schemas.microsoft.com/office/excel/2006/main">
          <x14:cfRule type="expression" priority="127" stopIfTrue="1" id="{F266CC93-6CE7-4428-980A-8087188E9534}">
            <xm:f>#REF!="×"</xm:f>
            <x14:dxf>
              <fill>
                <patternFill>
                  <bgColor indexed="55"/>
                </patternFill>
              </fill>
            </x14:dxf>
          </x14:cfRule>
          <xm:sqref>M12</xm:sqref>
        </x14:conditionalFormatting>
        <x14:conditionalFormatting xmlns:xm="http://schemas.microsoft.com/office/excel/2006/main">
          <x14:cfRule type="expression" priority="126" stopIfTrue="1" id="{C241B9A9-896D-4CF6-BE50-2CEA6C496263}">
            <xm:f>#REF!="×"</xm:f>
            <x14:dxf>
              <fill>
                <patternFill>
                  <bgColor indexed="55"/>
                </patternFill>
              </fill>
            </x14:dxf>
          </x14:cfRule>
          <xm:sqref>M13</xm:sqref>
        </x14:conditionalFormatting>
        <x14:conditionalFormatting xmlns:xm="http://schemas.microsoft.com/office/excel/2006/main">
          <x14:cfRule type="expression" priority="114" stopIfTrue="1" id="{78C42850-B072-45BC-9A05-1156CD6A5D62}">
            <xm:f>#REF!="×"</xm:f>
            <x14:dxf>
              <fill>
                <patternFill>
                  <bgColor indexed="55"/>
                </patternFill>
              </fill>
            </x14:dxf>
          </x14:cfRule>
          <xm:sqref>Q20</xm:sqref>
        </x14:conditionalFormatting>
        <x14:conditionalFormatting xmlns:xm="http://schemas.microsoft.com/office/excel/2006/main">
          <x14:cfRule type="expression" priority="124" stopIfTrue="1" id="{636FE0AB-8827-450C-B9F8-3C50C63EB6C2}">
            <xm:f>#REF!="×"</xm:f>
            <x14:dxf>
              <fill>
                <patternFill>
                  <bgColor indexed="55"/>
                </patternFill>
              </fill>
            </x14:dxf>
          </x14:cfRule>
          <xm:sqref>M15</xm:sqref>
        </x14:conditionalFormatting>
        <x14:conditionalFormatting xmlns:xm="http://schemas.microsoft.com/office/excel/2006/main">
          <x14:cfRule type="expression" priority="123" stopIfTrue="1" id="{AAE30B40-1868-4798-A7E8-D3ADAA2A0CF0}">
            <xm:f>#REF!="×"</xm:f>
            <x14:dxf>
              <fill>
                <patternFill>
                  <bgColor indexed="55"/>
                </patternFill>
              </fill>
            </x14:dxf>
          </x14:cfRule>
          <xm:sqref>M13 M15:M22</xm:sqref>
        </x14:conditionalFormatting>
        <x14:conditionalFormatting xmlns:xm="http://schemas.microsoft.com/office/excel/2006/main">
          <x14:cfRule type="expression" priority="112" stopIfTrue="1" id="{ECA03D0C-D391-4FC1-985B-2681E8BADE72}">
            <xm:f>#REF!="×"</xm:f>
            <x14:dxf>
              <fill>
                <patternFill>
                  <bgColor indexed="55"/>
                </patternFill>
              </fill>
            </x14:dxf>
          </x14:cfRule>
          <xm:sqref>Q19</xm:sqref>
        </x14:conditionalFormatting>
        <x14:conditionalFormatting xmlns:xm="http://schemas.microsoft.com/office/excel/2006/main">
          <x14:cfRule type="expression" priority="115" stopIfTrue="1" id="{04A5FC3C-C590-41F5-9201-357FBDD5DD90}">
            <xm:f>#REF!="×"</xm:f>
            <x14:dxf>
              <fill>
                <patternFill>
                  <bgColor indexed="55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expression" priority="111" stopIfTrue="1" id="{FB1CF54C-859E-423B-9524-1DFE790DB638}">
            <xm:f>#REF!="×"</xm:f>
            <x14:dxf>
              <fill>
                <patternFill>
                  <bgColor indexed="55"/>
                </patternFill>
              </fill>
            </x14:dxf>
          </x14:cfRule>
          <xm:sqref>Q21:Q22</xm:sqref>
        </x14:conditionalFormatting>
        <x14:conditionalFormatting xmlns:xm="http://schemas.microsoft.com/office/excel/2006/main">
          <x14:cfRule type="expression" priority="109" stopIfTrue="1" id="{03966C03-0E49-46F2-9AA9-39B34ABD5426}">
            <xm:f>#REF!="×"</xm:f>
            <x14:dxf>
              <fill>
                <patternFill>
                  <bgColor indexed="55"/>
                </patternFill>
              </fill>
            </x14:dxf>
          </x14:cfRule>
          <xm:sqref>N23:P25</xm:sqref>
        </x14:conditionalFormatting>
        <x14:conditionalFormatting xmlns:xm="http://schemas.microsoft.com/office/excel/2006/main">
          <x14:cfRule type="expression" priority="108" stopIfTrue="1" id="{0979F44F-1087-4428-A226-DB92D5DD8317}">
            <xm:f>#REF!="×"</xm:f>
            <x14:dxf>
              <fill>
                <patternFill>
                  <bgColor indexed="55"/>
                </patternFill>
              </fill>
            </x14:dxf>
          </x14:cfRule>
          <xm:sqref>M23:M25</xm:sqref>
        </x14:conditionalFormatting>
        <x14:conditionalFormatting xmlns:xm="http://schemas.microsoft.com/office/excel/2006/main">
          <x14:cfRule type="expression" priority="107" stopIfTrue="1" id="{7E00F280-9570-447A-AEBE-76C9C04106A5}">
            <xm:f>#REF!="×"</xm:f>
            <x14:dxf>
              <fill>
                <patternFill>
                  <bgColor indexed="55"/>
                </patternFill>
              </fill>
            </x14:dxf>
          </x14:cfRule>
          <xm:sqref>Q23:Q25</xm:sqref>
        </x14:conditionalFormatting>
        <x14:conditionalFormatting xmlns:xm="http://schemas.microsoft.com/office/excel/2006/main">
          <x14:cfRule type="expression" priority="94" stopIfTrue="1" id="{C769253C-3C29-4188-93ED-F468305912CD}">
            <xm:f>#REF!="×"</xm:f>
            <x14:dxf>
              <fill>
                <patternFill>
                  <bgColor indexed="55"/>
                </patternFill>
              </fill>
            </x14:dxf>
          </x14:cfRule>
          <xm:sqref>M12</xm:sqref>
        </x14:conditionalFormatting>
        <x14:conditionalFormatting xmlns:xm="http://schemas.microsoft.com/office/excel/2006/main">
          <x14:cfRule type="expression" priority="101" stopIfTrue="1" id="{DF6A6F0E-B927-48F8-B1A3-DE7BBE67D602}">
            <xm:f>#REF!="×"</xm:f>
            <x14:dxf>
              <fill>
                <patternFill>
                  <bgColor indexed="55"/>
                </patternFill>
              </fill>
            </x14:dxf>
          </x14:cfRule>
          <xm:sqref>O11</xm:sqref>
        </x14:conditionalFormatting>
        <x14:conditionalFormatting xmlns:xm="http://schemas.microsoft.com/office/excel/2006/main">
          <x14:cfRule type="expression" priority="96" stopIfTrue="1" id="{D1267AD9-8476-42DD-8A8C-D05E16A8F09C}">
            <xm:f>#REF!="×"</xm:f>
            <x14:dxf>
              <fill>
                <patternFill>
                  <bgColor indexed="55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expression" priority="95" stopIfTrue="1" id="{F710B2BD-15F5-44FE-9E2A-CE9DA2A98CD8}">
            <xm:f>#REF!="×"</xm:f>
            <x14:dxf>
              <fill>
                <patternFill>
                  <bgColor indexed="55"/>
                </patternFill>
              </fill>
            </x14:dxf>
          </x14:cfRule>
          <xm:sqref>M11</xm:sqref>
        </x14:conditionalFormatting>
        <x14:conditionalFormatting xmlns:xm="http://schemas.microsoft.com/office/excel/2006/main">
          <x14:cfRule type="expression" priority="91" stopIfTrue="1" id="{187614F7-0B1B-4F25-9404-7509A75CB76F}">
            <xm:f>#REF!="×"</xm:f>
            <x14:dxf>
              <fill>
                <patternFill>
                  <bgColor indexed="55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92" stopIfTrue="1" id="{90774F49-C255-4EE7-BFC3-F434968F382D}">
            <xm:f>#REF!="×"</xm:f>
            <x14:dxf>
              <fill>
                <patternFill>
                  <bgColor indexed="55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expression" priority="86" stopIfTrue="1" id="{000C12E8-2DDF-4CD4-A226-2450CDF23DF1}">
            <xm:f>#REF!="×"</xm:f>
            <x14:dxf>
              <fill>
                <patternFill>
                  <bgColor indexed="55"/>
                </patternFill>
              </fill>
            </x14:dxf>
          </x14:cfRule>
          <xm:sqref>R8</xm:sqref>
        </x14:conditionalFormatting>
        <x14:conditionalFormatting xmlns:xm="http://schemas.microsoft.com/office/excel/2006/main">
          <x14:cfRule type="expression" priority="82" stopIfTrue="1" id="{59BA6939-7D11-41BC-88F3-C16818405093}">
            <xm:f>#REF!="×"</xm:f>
            <x14:dxf>
              <fill>
                <patternFill>
                  <bgColor indexed="55"/>
                </patternFill>
              </fill>
            </x14:dxf>
          </x14:cfRule>
          <xm:sqref>R21:R22</xm:sqref>
        </x14:conditionalFormatting>
        <x14:conditionalFormatting xmlns:xm="http://schemas.microsoft.com/office/excel/2006/main">
          <x14:cfRule type="expression" priority="83" stopIfTrue="1" id="{F4E15536-E71C-4E67-816C-466D914C89C0}">
            <xm:f>#REF!="×"</xm:f>
            <x14:dxf>
              <fill>
                <patternFill>
                  <bgColor indexed="55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85" stopIfTrue="1" id="{21FD7498-7CCD-4D0F-9B5E-5666C9217B8A}">
            <xm:f>#REF!="×"</xm:f>
            <x14:dxf>
              <fill>
                <patternFill>
                  <bgColor indexed="55"/>
                </patternFill>
              </fill>
            </x14:dxf>
          </x14:cfRule>
          <xm:sqref>R20</xm:sqref>
        </x14:conditionalFormatting>
        <x14:conditionalFormatting xmlns:xm="http://schemas.microsoft.com/office/excel/2006/main">
          <x14:cfRule type="expression" priority="80" stopIfTrue="1" id="{4E11F755-3F65-46C2-AEB4-2D91B03C1B46}">
            <xm:f>#REF!="×"</xm:f>
            <x14:dxf>
              <fill>
                <patternFill>
                  <bgColor indexed="55"/>
                </patternFill>
              </fill>
            </x14:dxf>
          </x14:cfRule>
          <xm:sqref>R23:R25</xm:sqref>
        </x14:conditionalFormatting>
        <x14:conditionalFormatting xmlns:xm="http://schemas.microsoft.com/office/excel/2006/main">
          <x14:cfRule type="expression" priority="77" stopIfTrue="1" id="{951C654F-3557-4172-A1DF-BB8A47009AE2}">
            <xm:f>#REF!="×"</xm:f>
            <x14:dxf>
              <fill>
                <patternFill>
                  <bgColor indexed="55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expression" priority="76" stopIfTrue="1" id="{4365BE80-587B-4D06-8370-91A003CEB17A}">
            <xm:f>#REF!="×"</xm:f>
            <x14:dxf>
              <fill>
                <patternFill>
                  <bgColor indexed="55"/>
                </patternFill>
              </fill>
            </x14:dxf>
          </x14:cfRule>
          <xm:sqref>M9</xm:sqref>
        </x14:conditionalFormatting>
        <x14:conditionalFormatting xmlns:xm="http://schemas.microsoft.com/office/excel/2006/main">
          <x14:cfRule type="expression" priority="75" stopIfTrue="1" id="{4C6B4CB1-D90D-4ECF-AE05-33F65EB75083}">
            <xm:f>#REF!="×"</xm:f>
            <x14:dxf>
              <fill>
                <patternFill>
                  <bgColor indexed="55"/>
                </patternFill>
              </fill>
            </x14:dxf>
          </x14:cfRule>
          <xm:sqref>Q9</xm:sqref>
        </x14:conditionalFormatting>
        <x14:conditionalFormatting xmlns:xm="http://schemas.microsoft.com/office/excel/2006/main">
          <x14:cfRule type="expression" priority="74" stopIfTrue="1" id="{74B1CB21-0D80-4DAE-9469-1FF170902022}">
            <xm:f>#REF!="×"</xm:f>
            <x14:dxf>
              <fill>
                <patternFill>
                  <bgColor indexed="55"/>
                </patternFill>
              </fill>
            </x14:dxf>
          </x14:cfRule>
          <xm:sqref>R9</xm:sqref>
        </x14:conditionalFormatting>
        <x14:conditionalFormatting xmlns:xm="http://schemas.microsoft.com/office/excel/2006/main">
          <x14:cfRule type="expression" priority="73" stopIfTrue="1" id="{D02E9BE6-0354-4157-B37D-3EA0A5B8DCF2}">
            <xm:f>#REF!="×"</xm:f>
            <x14:dxf>
              <fill>
                <patternFill>
                  <bgColor indexed="55"/>
                </patternFill>
              </fill>
            </x14:dxf>
          </x14:cfRule>
          <xm:sqref>R10</xm:sqref>
        </x14:conditionalFormatting>
        <x14:conditionalFormatting xmlns:xm="http://schemas.microsoft.com/office/excel/2006/main">
          <x14:cfRule type="expression" priority="68" stopIfTrue="1" id="{DE30F747-EB3A-4B94-ABA8-ACE19B911172}">
            <xm:f>#REF!="×"</xm:f>
            <x14:dxf>
              <fill>
                <patternFill>
                  <bgColor indexed="55"/>
                </patternFill>
              </fill>
            </x14:dxf>
          </x14:cfRule>
          <xm:sqref>N19:N20</xm:sqref>
        </x14:conditionalFormatting>
        <x14:conditionalFormatting xmlns:xm="http://schemas.microsoft.com/office/excel/2006/main">
          <x14:cfRule type="expression" priority="67" stopIfTrue="1" id="{CEBC0597-8F11-4DF9-BD61-5BD581EDC67B}">
            <xm:f>#REF!="×"</xm:f>
            <x14:dxf>
              <fill>
                <patternFill>
                  <bgColor indexed="55"/>
                </patternFill>
              </fill>
            </x14:dxf>
          </x14:cfRule>
          <xm:sqref>N19:N20</xm:sqref>
        </x14:conditionalFormatting>
        <x14:conditionalFormatting xmlns:xm="http://schemas.microsoft.com/office/excel/2006/main">
          <x14:cfRule type="expression" priority="66" stopIfTrue="1" id="{833C1848-D4F8-45DE-BB86-48576657663B}">
            <xm:f>#REF!="×"</xm:f>
            <x14:dxf>
              <fill>
                <patternFill>
                  <bgColor indexed="55"/>
                </patternFill>
              </fill>
            </x14:dxf>
          </x14:cfRule>
          <xm:sqref>P12</xm:sqref>
        </x14:conditionalFormatting>
        <x14:conditionalFormatting xmlns:xm="http://schemas.microsoft.com/office/excel/2006/main">
          <x14:cfRule type="expression" priority="65" stopIfTrue="1" id="{7888EBFD-AFC4-440F-AEE2-55DADB5E22DD}">
            <xm:f>#REF!="×"</xm:f>
            <x14:dxf>
              <fill>
                <patternFill>
                  <bgColor indexed="55"/>
                </patternFill>
              </fill>
            </x14:dxf>
          </x14:cfRule>
          <xm:sqref>P12</xm:sqref>
        </x14:conditionalFormatting>
        <x14:conditionalFormatting xmlns:xm="http://schemas.microsoft.com/office/excel/2006/main">
          <x14:cfRule type="expression" priority="42" stopIfTrue="1" id="{8A2AA35C-9782-41FC-BC31-29AA3AF419BA}">
            <xm:f>#REF!="×"</xm:f>
            <x14:dxf>
              <fill>
                <patternFill>
                  <bgColor indexed="55"/>
                </patternFill>
              </fill>
            </x14:dxf>
          </x14:cfRule>
          <xm:sqref>N13:N14</xm:sqref>
        </x14:conditionalFormatting>
        <x14:conditionalFormatting xmlns:xm="http://schemas.microsoft.com/office/excel/2006/main">
          <x14:cfRule type="expression" priority="62" stopIfTrue="1" id="{F1A5062B-4400-4A30-B016-BEFC05B71DF1}">
            <xm:f>#REF!="×"</xm:f>
            <x14:dxf>
              <fill>
                <patternFill>
                  <bgColor indexed="55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61" stopIfTrue="1" id="{58D6D368-92B9-4CA7-9216-F7BB68CFDBB1}">
            <xm:f>#REF!="×"</xm:f>
            <x14:dxf>
              <fill>
                <patternFill>
                  <bgColor indexed="55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58" stopIfTrue="1" id="{61DB7559-5BD3-41D9-B5A3-19379FB335C5}">
            <xm:f>#REF!="×"</xm:f>
            <x14:dxf>
              <fill>
                <patternFill>
                  <bgColor indexed="55"/>
                </patternFill>
              </fill>
            </x14:dxf>
          </x14:cfRule>
          <xm:sqref>P11</xm:sqref>
        </x14:conditionalFormatting>
        <x14:conditionalFormatting xmlns:xm="http://schemas.microsoft.com/office/excel/2006/main">
          <x14:cfRule type="expression" priority="57" stopIfTrue="1" id="{A71BD9CE-EE67-484A-8604-C96AF40DA609}">
            <xm:f>#REF!="×"</xm:f>
            <x14:dxf>
              <fill>
                <patternFill>
                  <bgColor indexed="55"/>
                </patternFill>
              </fill>
            </x14:dxf>
          </x14:cfRule>
          <xm:sqref>P11</xm:sqref>
        </x14:conditionalFormatting>
        <x14:conditionalFormatting xmlns:xm="http://schemas.microsoft.com/office/excel/2006/main">
          <x14:cfRule type="expression" priority="56" stopIfTrue="1" id="{3DE7E826-579E-4381-A26F-A38711724411}">
            <xm:f>#REF!="×"</xm:f>
            <x14:dxf>
              <fill>
                <patternFill>
                  <bgColor indexed="55"/>
                </patternFill>
              </fill>
            </x14:dxf>
          </x14:cfRule>
          <xm:sqref>R11</xm:sqref>
        </x14:conditionalFormatting>
        <x14:conditionalFormatting xmlns:xm="http://schemas.microsoft.com/office/excel/2006/main">
          <x14:cfRule type="expression" priority="53" stopIfTrue="1" id="{4698805F-3EC3-4E46-BE39-1C93E2D73DA9}">
            <xm:f>#REF!="×"</xm:f>
            <x14:dxf>
              <fill>
                <patternFill>
                  <bgColor indexed="55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2" stopIfTrue="1" id="{FC5E2488-00DC-4454-97F7-3BA907D47F44}">
            <xm:f>#REF!="×"</xm:f>
            <x14:dxf>
              <fill>
                <patternFill>
                  <bgColor indexed="55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1" stopIfTrue="1" id="{829EDD61-2091-48EE-9BFC-834C86BF3142}">
            <xm:f>#REF!="×"</xm:f>
            <x14:dxf>
              <fill>
                <patternFill>
                  <bgColor indexed="55"/>
                </patternFill>
              </fill>
            </x14:dxf>
          </x14:cfRule>
          <xm:sqref>O12:O14</xm:sqref>
        </x14:conditionalFormatting>
        <x14:conditionalFormatting xmlns:xm="http://schemas.microsoft.com/office/excel/2006/main">
          <x14:cfRule type="expression" priority="50" stopIfTrue="1" id="{3C8C4423-FEA0-4DF9-A21B-52C97A36BB9D}">
            <xm:f>#REF!="×"</xm:f>
            <x14:dxf>
              <fill>
                <patternFill>
                  <bgColor indexed="55"/>
                </patternFill>
              </fill>
            </x14:dxf>
          </x14:cfRule>
          <xm:sqref>O12:O14</xm:sqref>
        </x14:conditionalFormatting>
        <x14:conditionalFormatting xmlns:xm="http://schemas.microsoft.com/office/excel/2006/main">
          <x14:cfRule type="expression" priority="45" stopIfTrue="1" id="{50CAF25C-3F85-4F91-B595-5BE91EE57FBC}">
            <xm:f>#REF!="×"</xm:f>
            <x14:dxf>
              <fill>
                <patternFill>
                  <bgColor indexed="55"/>
                </patternFill>
              </fill>
            </x14:dxf>
          </x14:cfRule>
          <xm:sqref>P13</xm:sqref>
        </x14:conditionalFormatting>
        <x14:conditionalFormatting xmlns:xm="http://schemas.microsoft.com/office/excel/2006/main">
          <x14:cfRule type="expression" priority="44" stopIfTrue="1" id="{CEF37094-4EAF-424D-84B5-0EDA26DD82D7}">
            <xm:f>#REF!="×"</xm:f>
            <x14:dxf>
              <fill>
                <patternFill>
                  <bgColor indexed="55"/>
                </patternFill>
              </fill>
            </x14:dxf>
          </x14:cfRule>
          <xm:sqref>P13</xm:sqref>
        </x14:conditionalFormatting>
        <x14:conditionalFormatting xmlns:xm="http://schemas.microsoft.com/office/excel/2006/main">
          <x14:cfRule type="expression" priority="43" stopIfTrue="1" id="{B74D12F8-A05C-4FDB-8B58-BA5184AFC88D}">
            <xm:f>#REF!="×"</xm:f>
            <x14:dxf>
              <fill>
                <patternFill>
                  <bgColor indexed="55"/>
                </patternFill>
              </fill>
            </x14:dxf>
          </x14:cfRule>
          <xm:sqref>N13:N14</xm:sqref>
        </x14:conditionalFormatting>
        <x14:conditionalFormatting xmlns:xm="http://schemas.microsoft.com/office/excel/2006/main">
          <x14:cfRule type="expression" priority="35" stopIfTrue="1" id="{C8969693-87FF-479B-8D0E-09298F683A97}">
            <xm:f>#REF!="×"</xm:f>
            <x14:dxf>
              <fill>
                <patternFill>
                  <bgColor indexed="55"/>
                </patternFill>
              </fill>
            </x14:dxf>
          </x14:cfRule>
          <xm:sqref>M14</xm:sqref>
        </x14:conditionalFormatting>
        <x14:conditionalFormatting xmlns:xm="http://schemas.microsoft.com/office/excel/2006/main">
          <x14:cfRule type="expression" priority="34" stopIfTrue="1" id="{01626E85-9ADF-430E-A836-65DA3A8D2206}">
            <xm:f>#REF!="×"</xm:f>
            <x14:dxf>
              <fill>
                <patternFill>
                  <bgColor indexed="55"/>
                </patternFill>
              </fill>
            </x14:dxf>
          </x14:cfRule>
          <xm:sqref>M14</xm:sqref>
        </x14:conditionalFormatting>
        <x14:conditionalFormatting xmlns:xm="http://schemas.microsoft.com/office/excel/2006/main">
          <x14:cfRule type="expression" priority="26" stopIfTrue="1" id="{B366A0A2-0BED-430D-A3CB-7142F69E2AB8}">
            <xm:f>#REF!="×"</xm:f>
            <x14:dxf>
              <fill>
                <patternFill>
                  <bgColor indexed="55"/>
                </patternFill>
              </fill>
            </x14:dxf>
          </x14:cfRule>
          <xm:sqref>Q11</xm:sqref>
        </x14:conditionalFormatting>
        <x14:conditionalFormatting xmlns:xm="http://schemas.microsoft.com/office/excel/2006/main">
          <x14:cfRule type="expression" priority="25" stopIfTrue="1" id="{1E7ECE9C-0517-47E0-A5D6-8D66E0E50AAE}">
            <xm:f>#REF!="×"</xm:f>
            <x14:dxf>
              <fill>
                <patternFill>
                  <bgColor indexed="55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20" stopIfTrue="1" id="{0B394A48-FE60-4A27-BBCE-80341B800AF5}">
            <xm:f>#REF!="×"</xm:f>
            <x14:dxf>
              <fill>
                <patternFill>
                  <bgColor indexed="55"/>
                </patternFill>
              </fill>
            </x14:dxf>
          </x14:cfRule>
          <xm:sqref>N16:N17</xm:sqref>
        </x14:conditionalFormatting>
        <x14:conditionalFormatting xmlns:xm="http://schemas.microsoft.com/office/excel/2006/main">
          <x14:cfRule type="expression" priority="23" stopIfTrue="1" id="{63E2B29C-B247-4B44-B361-C37259A0AD69}">
            <xm:f>#REF!="×"</xm:f>
            <x14:dxf>
              <fill>
                <patternFill>
                  <bgColor indexed="55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22" stopIfTrue="1" id="{3873CE35-A6C9-4F01-B378-06580F69D622}">
            <xm:f>#REF!="×"</xm:f>
            <x14:dxf>
              <fill>
                <patternFill>
                  <bgColor indexed="55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21" stopIfTrue="1" id="{710C6C23-ACEE-45A4-A3D2-D97C63B01D11}">
            <xm:f>#REF!="×"</xm:f>
            <x14:dxf>
              <fill>
                <patternFill>
                  <bgColor indexed="55"/>
                </patternFill>
              </fill>
            </x14:dxf>
          </x14:cfRule>
          <xm:sqref>N16:N17</xm:sqref>
        </x14:conditionalFormatting>
        <x14:conditionalFormatting xmlns:xm="http://schemas.microsoft.com/office/excel/2006/main">
          <x14:cfRule type="expression" priority="19" stopIfTrue="1" id="{1AD1A222-E22B-4357-A44F-FF50F30A09BC}">
            <xm:f>#REF!="×"</xm:f>
            <x14:dxf>
              <fill>
                <patternFill>
                  <bgColor indexed="55"/>
                </patternFill>
              </fill>
            </x14:dxf>
          </x14:cfRule>
          <xm:sqref>P15:P17</xm:sqref>
        </x14:conditionalFormatting>
        <x14:conditionalFormatting xmlns:xm="http://schemas.microsoft.com/office/excel/2006/main">
          <x14:cfRule type="expression" priority="18" stopIfTrue="1" id="{715CCB92-B5E0-4909-BB9F-CB188D95670F}">
            <xm:f>#REF!="×"</xm:f>
            <x14:dxf>
              <fill>
                <patternFill>
                  <bgColor indexed="55"/>
                </patternFill>
              </fill>
            </x14:dxf>
          </x14:cfRule>
          <xm:sqref>P15:P17</xm:sqref>
        </x14:conditionalFormatting>
        <x14:conditionalFormatting xmlns:xm="http://schemas.microsoft.com/office/excel/2006/main">
          <x14:cfRule type="expression" priority="16" stopIfTrue="1" id="{5C4A52B3-D1BA-4100-9A4F-6496A7BB5760}">
            <xm:f>#REF!="×"</xm:f>
            <x14:dxf>
              <fill>
                <patternFill>
                  <bgColor indexed="55"/>
                </patternFill>
              </fill>
            </x14:dxf>
          </x14:cfRule>
          <xm:sqref>Q17 Q15</xm:sqref>
        </x14:conditionalFormatting>
        <x14:conditionalFormatting xmlns:xm="http://schemas.microsoft.com/office/excel/2006/main">
          <x14:cfRule type="expression" priority="17" stopIfTrue="1" id="{6C154BDB-B79B-4CAE-9650-5A2CC636C191}">
            <xm:f>#REF!="×"</xm:f>
            <x14:dxf>
              <fill>
                <patternFill>
                  <bgColor indexed="55"/>
                </patternFill>
              </fill>
            </x14:dxf>
          </x14:cfRule>
          <xm:sqref>Q16</xm:sqref>
        </x14:conditionalFormatting>
        <x14:conditionalFormatting xmlns:xm="http://schemas.microsoft.com/office/excel/2006/main">
          <x14:cfRule type="expression" priority="14" stopIfTrue="1" id="{F9A675BF-0D66-4F77-B319-5DFB8B4CCDB7}">
            <xm:f>#REF!="×"</xm:f>
            <x14:dxf>
              <fill>
                <patternFill>
                  <bgColor indexed="55"/>
                </patternFill>
              </fill>
            </x14:dxf>
          </x14:cfRule>
          <xm:sqref>R16:R17</xm:sqref>
        </x14:conditionalFormatting>
        <x14:conditionalFormatting xmlns:xm="http://schemas.microsoft.com/office/excel/2006/main">
          <x14:cfRule type="expression" priority="12" stopIfTrue="1" id="{B69977FF-58DD-4F5C-A612-649582CCC6F6}">
            <xm:f>#REF!="×"</xm:f>
            <x14:dxf>
              <fill>
                <patternFill>
                  <bgColor indexed="55"/>
                </patternFill>
              </fill>
            </x14:dxf>
          </x14:cfRule>
          <xm:sqref>Q18</xm:sqref>
        </x14:conditionalFormatting>
        <x14:conditionalFormatting xmlns:xm="http://schemas.microsoft.com/office/excel/2006/main">
          <x14:cfRule type="expression" priority="11" stopIfTrue="1" id="{1DE170CA-5270-4A86-B7A8-ADF0916F45D7}">
            <xm:f>#REF!="×"</xm:f>
            <x14:dxf>
              <fill>
                <patternFill>
                  <bgColor indexed="55"/>
                </patternFill>
              </fill>
            </x14:dxf>
          </x14:cfRule>
          <xm:sqref>P18</xm:sqref>
        </x14:conditionalFormatting>
        <x14:conditionalFormatting xmlns:xm="http://schemas.microsoft.com/office/excel/2006/main">
          <x14:cfRule type="expression" priority="10" stopIfTrue="1" id="{373F41EA-ABE2-4861-AA0F-B5D6A557F06D}">
            <xm:f>#REF!="×"</xm:f>
            <x14:dxf>
              <fill>
                <patternFill>
                  <bgColor indexed="55"/>
                </patternFill>
              </fill>
            </x14:dxf>
          </x14:cfRule>
          <xm:sqref>P18</xm:sqref>
        </x14:conditionalFormatting>
        <x14:conditionalFormatting xmlns:xm="http://schemas.microsoft.com/office/excel/2006/main">
          <x14:cfRule type="expression" priority="8" stopIfTrue="1" id="{20745506-1183-483C-8649-2E2A96677819}">
            <xm:f>#REF!="×"</xm:f>
            <x14:dxf>
              <fill>
                <patternFill>
                  <bgColor indexed="55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9" stopIfTrue="1" id="{05126049-DFA2-41BC-9AF9-24B1B07217F3}">
            <xm:f>#REF!="×"</xm:f>
            <x14:dxf>
              <fill>
                <patternFill>
                  <bgColor indexed="55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6" stopIfTrue="1" id="{07701DF9-E513-4ACE-852A-EB74426B6A4E}">
            <xm:f>#REF!="×"</xm:f>
            <x14:dxf>
              <fill>
                <patternFill>
                  <bgColor indexed="55"/>
                </patternFill>
              </fill>
            </x14:dxf>
          </x14:cfRule>
          <xm:sqref>R18</xm:sqref>
        </x14:conditionalFormatting>
        <x14:conditionalFormatting xmlns:xm="http://schemas.microsoft.com/office/excel/2006/main">
          <x14:cfRule type="expression" priority="5" stopIfTrue="1" id="{D489CC51-4E4C-456B-977A-83885C0AD829}">
            <xm:f>#REF!="×"</xm:f>
            <x14:dxf>
              <fill>
                <patternFill>
                  <bgColor indexed="55"/>
                </patternFill>
              </fill>
            </x14:dxf>
          </x14:cfRule>
          <xm:sqref>R15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56"/>
  <sheetViews>
    <sheetView zoomScale="85" zoomScaleNormal="85" workbookViewId="0">
      <selection activeCell="I50" sqref="I50"/>
    </sheetView>
  </sheetViews>
  <sheetFormatPr defaultRowHeight="13.5"/>
  <cols>
    <col min="1" max="1" width="2.375" style="76" customWidth="1"/>
    <col min="2" max="3" width="2.375" style="76" hidden="1" customWidth="1"/>
    <col min="4" max="4" width="18.625" style="76" customWidth="1"/>
    <col min="5" max="5" width="16.25" style="76" customWidth="1"/>
    <col min="6" max="6" width="13.875" style="76" bestFit="1" customWidth="1"/>
    <col min="7" max="7" width="12.25" style="76" customWidth="1"/>
    <col min="8" max="8" width="11.625" style="76" bestFit="1" customWidth="1"/>
    <col min="9" max="9" width="18.625" style="76" customWidth="1"/>
    <col min="10" max="10" width="15" style="76" bestFit="1" customWidth="1"/>
    <col min="11" max="11" width="13.875" style="76" bestFit="1" customWidth="1"/>
    <col min="12" max="12" width="18.5" style="76" bestFit="1" customWidth="1"/>
    <col min="13" max="13" width="18.375" style="76" bestFit="1" customWidth="1"/>
    <col min="14" max="14" width="17.25" style="76" bestFit="1" customWidth="1"/>
    <col min="15" max="15" width="16.125" style="76" bestFit="1" customWidth="1"/>
    <col min="16" max="16" width="19.375" style="76" bestFit="1" customWidth="1"/>
    <col min="17" max="17" width="10.5" style="76" bestFit="1" customWidth="1"/>
    <col min="18" max="18" width="12.75" style="76" bestFit="1" customWidth="1"/>
    <col min="19" max="19" width="16.125" style="76" bestFit="1" customWidth="1"/>
    <col min="20" max="20" width="9.5" style="76" bestFit="1" customWidth="1"/>
    <col min="21" max="21" width="11.625" style="76" bestFit="1" customWidth="1"/>
    <col min="22" max="22" width="12.5" style="76" customWidth="1"/>
    <col min="23" max="23" width="17" style="76" customWidth="1"/>
    <col min="24" max="24" width="16.125" style="76" bestFit="1" customWidth="1"/>
    <col min="25" max="25" width="16" style="76" customWidth="1"/>
    <col min="26" max="26" width="16.125" style="76" bestFit="1" customWidth="1"/>
    <col min="27" max="27" width="15.125" style="76" customWidth="1"/>
    <col min="28" max="28" width="17.25" style="76" bestFit="1" customWidth="1"/>
    <col min="29" max="29" width="18.375" style="76" bestFit="1" customWidth="1"/>
    <col min="30" max="31" width="15" style="76" bestFit="1" customWidth="1"/>
    <col min="32" max="32" width="19.375" style="76" bestFit="1" customWidth="1"/>
    <col min="33" max="33" width="11.625" style="76" bestFit="1" customWidth="1"/>
    <col min="34" max="34" width="22.75" style="76" bestFit="1" customWidth="1"/>
    <col min="35" max="35" width="11.625" style="76" bestFit="1" customWidth="1"/>
    <col min="36" max="36" width="10.5" style="76" bestFit="1" customWidth="1"/>
    <col min="37" max="37" width="15" style="76" bestFit="1" customWidth="1"/>
    <col min="38" max="38" width="10.5" style="76" bestFit="1" customWidth="1"/>
    <col min="39" max="39" width="15" style="76" bestFit="1" customWidth="1"/>
    <col min="40" max="44" width="9" style="76"/>
    <col min="45" max="45" width="12.5" style="76" customWidth="1"/>
    <col min="46" max="46" width="15.75" style="76" customWidth="1"/>
    <col min="47" max="16384" width="9" style="76"/>
  </cols>
  <sheetData>
    <row r="1" spans="1:24" s="73" customFormat="1" ht="16.5" customHeight="1">
      <c r="B1" s="74"/>
      <c r="C1" s="74"/>
      <c r="D1" s="74" t="s">
        <v>60</v>
      </c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</row>
    <row r="2" spans="1:24" s="73" customFormat="1" ht="16.5" customHeight="1">
      <c r="A2" s="74"/>
      <c r="B2" s="74"/>
      <c r="C2" s="74"/>
      <c r="D2" s="81" t="s">
        <v>59</v>
      </c>
      <c r="E2" s="124" t="s">
        <v>107</v>
      </c>
      <c r="F2" s="75"/>
      <c r="G2" s="75"/>
      <c r="H2" s="75"/>
      <c r="I2" s="75"/>
      <c r="J2" s="75"/>
      <c r="K2" s="75"/>
      <c r="L2" s="75"/>
      <c r="M2" s="75"/>
      <c r="N2" s="75"/>
      <c r="O2" s="75"/>
    </row>
    <row r="3" spans="1:24" s="73" customFormat="1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</row>
    <row r="4" spans="1:24" ht="14.25" customHeight="1">
      <c r="D4" s="77" t="s">
        <v>61</v>
      </c>
      <c r="V4" s="73"/>
      <c r="W4" s="73"/>
      <c r="X4" s="73"/>
    </row>
    <row r="5" spans="1:24" s="73" customFormat="1">
      <c r="A5" s="75"/>
      <c r="B5" s="75"/>
      <c r="C5" s="75"/>
      <c r="D5" s="82" t="str">
        <f>データ確認!U3</f>
        <v>企業コード</v>
      </c>
      <c r="E5" s="82" t="str">
        <f>データ確認!X3</f>
        <v>COMPANY_CD</v>
      </c>
      <c r="F5" s="83">
        <f>データ確認!Y3</f>
        <v>101</v>
      </c>
      <c r="G5" s="75" t="str">
        <f>IF(E5="","",E5&amp;" = "&amp;"'"&amp;F5&amp;"'"&amp;IF(G6="",""," AND "))</f>
        <v xml:space="preserve">COMPANY_CD = '101' AND </v>
      </c>
      <c r="H5" s="75"/>
      <c r="J5" s="75"/>
      <c r="K5" s="75"/>
      <c r="L5" s="75"/>
      <c r="M5" s="75"/>
      <c r="N5" s="75"/>
      <c r="O5" s="75"/>
    </row>
    <row r="6" spans="1:24" s="73" customFormat="1">
      <c r="A6" s="75"/>
      <c r="B6" s="75"/>
      <c r="C6" s="75"/>
      <c r="D6" s="82" t="str">
        <f>データ確認!U4</f>
        <v>部店コード</v>
      </c>
      <c r="E6" s="82" t="str">
        <f>データ確認!X4</f>
        <v>BRANCH_CD</v>
      </c>
      <c r="F6" s="83" t="str">
        <f>データ確認!Y4</f>
        <v>001</v>
      </c>
      <c r="G6" s="75" t="str">
        <f>IF(E6="","",E6&amp;" = "&amp;"'"&amp;F6&amp;"'"&amp;IF(G8="",""," AND "))</f>
        <v xml:space="preserve">BRANCH_CD = '001' AND </v>
      </c>
      <c r="H6" s="75"/>
      <c r="J6" s="75"/>
      <c r="K6" s="75"/>
      <c r="L6" s="75"/>
      <c r="M6" s="75"/>
      <c r="N6" s="75"/>
      <c r="O6" s="75"/>
    </row>
    <row r="7" spans="1:24" s="73" customFormat="1">
      <c r="A7" s="75"/>
      <c r="B7" s="75"/>
      <c r="C7" s="75"/>
      <c r="D7" s="82" t="str">
        <f>データ確認!U5</f>
        <v>顧客コード</v>
      </c>
      <c r="E7" s="82" t="str">
        <f>データ確認!X5</f>
        <v>CUSTOMER_CD</v>
      </c>
      <c r="F7" s="83" t="str">
        <f>データ確認!Y5</f>
        <v>000070</v>
      </c>
      <c r="G7" s="75" t="str">
        <f>IF(E7="","",E7&amp;" = "&amp;"'"&amp;F7&amp;"'"&amp;IF(G8="",""," AND "))</f>
        <v xml:space="preserve">CUSTOMER_CD = '000070' AND </v>
      </c>
      <c r="H7" s="75"/>
      <c r="J7" s="75"/>
      <c r="K7" s="75"/>
      <c r="L7" s="75"/>
      <c r="M7" s="75"/>
      <c r="N7" s="75"/>
      <c r="O7" s="75"/>
    </row>
    <row r="8" spans="1:24" s="73" customFormat="1">
      <c r="A8" s="75"/>
      <c r="B8" s="75"/>
      <c r="C8" s="75"/>
      <c r="D8" s="82" t="str">
        <f>データ確認!U6</f>
        <v>基準日（受渡日）</v>
      </c>
      <c r="E8" s="82" t="str">
        <f>データ確認!X6</f>
        <v>BASE_D</v>
      </c>
      <c r="F8" s="114" t="str">
        <f>TEXT(データ確認_Data!H17,"YYYY/MM/DD")</f>
        <v>2019/10/15</v>
      </c>
      <c r="G8" s="75" t="str">
        <f>IF(E8="","",E8&amp;" = "&amp;"'"&amp;TEXT(F8,"YYYY/MM/DD")&amp;"'"&amp;IF(G9="",""," AND "))</f>
        <v>BASE_D = '2019/10/15'</v>
      </c>
      <c r="H8" s="75"/>
      <c r="J8" s="75"/>
      <c r="K8" s="75"/>
      <c r="L8" s="75"/>
      <c r="M8" s="75"/>
      <c r="N8" s="75"/>
      <c r="O8" s="75"/>
    </row>
    <row r="9" spans="1:24" s="73" customFormat="1">
      <c r="A9" s="75"/>
      <c r="B9" s="75"/>
      <c r="C9" s="75"/>
      <c r="D9" s="75"/>
      <c r="E9" s="75"/>
      <c r="F9" s="76"/>
      <c r="G9" s="75"/>
      <c r="H9" s="75"/>
      <c r="I9" s="75"/>
      <c r="J9" s="75"/>
      <c r="K9" s="75"/>
      <c r="L9" s="75"/>
      <c r="M9" s="75"/>
      <c r="N9" s="75"/>
      <c r="O9" s="75"/>
    </row>
    <row r="10" spans="1:24" s="73" customFormat="1">
      <c r="A10" s="75"/>
      <c r="B10" s="75"/>
      <c r="C10" s="75"/>
      <c r="D10" s="75"/>
      <c r="E10" s="75"/>
      <c r="F10" s="76"/>
      <c r="G10" s="75"/>
      <c r="H10" s="75"/>
      <c r="I10" s="75"/>
      <c r="J10" s="75"/>
      <c r="K10" s="75"/>
      <c r="L10" s="75"/>
      <c r="M10" s="75"/>
      <c r="N10" s="75"/>
      <c r="O10" s="75"/>
    </row>
    <row r="11" spans="1:24" s="73" customFormat="1">
      <c r="A11" s="75" t="s">
        <v>47</v>
      </c>
      <c r="B11" s="72"/>
      <c r="C11" s="72"/>
      <c r="D11" s="78" t="s">
        <v>48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</row>
    <row r="12" spans="1:24" s="73" customFormat="1">
      <c r="A12" s="75" t="s">
        <v>32</v>
      </c>
      <c r="B12" s="75"/>
      <c r="C12" s="75"/>
      <c r="D12" s="74" t="s">
        <v>49</v>
      </c>
      <c r="E12" s="72"/>
      <c r="F12" s="72"/>
      <c r="G12" s="123" t="s">
        <v>140</v>
      </c>
      <c r="H12" s="72"/>
      <c r="I12" s="72"/>
      <c r="J12" s="72"/>
      <c r="K12" s="72"/>
      <c r="L12" s="72"/>
      <c r="M12" s="72"/>
      <c r="N12" s="72"/>
      <c r="O12" s="72"/>
      <c r="P12" s="72"/>
    </row>
    <row r="13" spans="1:24" s="73" customFormat="1" ht="13.5" customHeight="1">
      <c r="A13" s="72"/>
      <c r="B13" s="72"/>
      <c r="C13" s="72"/>
      <c r="D13" s="72" t="s">
        <v>102</v>
      </c>
      <c r="E13" s="72"/>
      <c r="G13" s="75" t="s">
        <v>126</v>
      </c>
      <c r="H13" s="75"/>
      <c r="I13" s="75"/>
      <c r="J13" s="75"/>
      <c r="K13" s="72"/>
      <c r="L13" s="72"/>
      <c r="M13" s="72"/>
      <c r="N13" s="72"/>
      <c r="O13" s="72"/>
      <c r="P13" s="72"/>
    </row>
    <row r="14" spans="1:24" s="73" customFormat="1">
      <c r="A14" s="72"/>
      <c r="B14" s="72"/>
      <c r="C14" s="72"/>
      <c r="D14" s="72" t="s">
        <v>89</v>
      </c>
      <c r="E14" s="72"/>
      <c r="F14" s="72"/>
      <c r="G14" s="75"/>
      <c r="H14" s="75"/>
      <c r="I14" s="75"/>
      <c r="J14" s="75"/>
      <c r="K14" s="72"/>
      <c r="L14" s="72"/>
      <c r="M14" s="72"/>
      <c r="N14" s="72"/>
      <c r="O14" s="72"/>
      <c r="P14" s="72"/>
    </row>
    <row r="15" spans="1:24" s="73" customFormat="1">
      <c r="A15" s="72"/>
      <c r="B15" s="72"/>
      <c r="C15" s="72"/>
      <c r="D15" s="111" t="s">
        <v>90</v>
      </c>
      <c r="E15" s="111" t="s">
        <v>135</v>
      </c>
      <c r="F15" s="111" t="s">
        <v>91</v>
      </c>
      <c r="G15" s="141" t="s">
        <v>78</v>
      </c>
      <c r="H15" s="141" t="s">
        <v>79</v>
      </c>
      <c r="I15" s="141" t="s">
        <v>92</v>
      </c>
      <c r="J15" s="141" t="s">
        <v>93</v>
      </c>
      <c r="K15" s="146" t="s">
        <v>73</v>
      </c>
      <c r="L15" s="146" t="s">
        <v>74</v>
      </c>
      <c r="M15" s="146" t="s">
        <v>75</v>
      </c>
      <c r="N15" s="146" t="s">
        <v>76</v>
      </c>
      <c r="O15" s="146" t="s">
        <v>77</v>
      </c>
      <c r="P15" s="72"/>
    </row>
    <row r="16" spans="1:24" s="73" customFormat="1">
      <c r="A16" s="72"/>
      <c r="B16" s="72"/>
      <c r="C16" s="72"/>
      <c r="D16" s="111" t="s">
        <v>94</v>
      </c>
      <c r="E16" s="111" t="s">
        <v>95</v>
      </c>
      <c r="F16" s="111" t="s">
        <v>96</v>
      </c>
      <c r="G16" s="111" t="s">
        <v>66</v>
      </c>
      <c r="H16" s="111" t="s">
        <v>50</v>
      </c>
      <c r="I16" s="111" t="s">
        <v>97</v>
      </c>
      <c r="J16" s="139" t="s">
        <v>98</v>
      </c>
      <c r="K16" s="146" t="s">
        <v>51</v>
      </c>
      <c r="L16" s="146" t="s">
        <v>52</v>
      </c>
      <c r="M16" s="146" t="s">
        <v>53</v>
      </c>
      <c r="N16" s="146" t="s">
        <v>54</v>
      </c>
      <c r="O16" s="146" t="s">
        <v>55</v>
      </c>
      <c r="P16" s="72"/>
    </row>
    <row r="17" spans="1:17" s="73" customFormat="1">
      <c r="A17" s="72"/>
      <c r="B17" s="72"/>
      <c r="C17" s="72"/>
      <c r="D17" s="112">
        <v>43748</v>
      </c>
      <c r="E17" s="112">
        <v>43747</v>
      </c>
      <c r="F17" s="112">
        <v>43749</v>
      </c>
      <c r="G17" s="112">
        <v>43748</v>
      </c>
      <c r="H17" s="112">
        <v>43753</v>
      </c>
      <c r="I17" s="112">
        <v>43747</v>
      </c>
      <c r="J17" s="142" t="s">
        <v>103</v>
      </c>
      <c r="K17" s="146" t="s">
        <v>82</v>
      </c>
      <c r="L17" s="129">
        <v>43735.743206018517</v>
      </c>
      <c r="M17" s="146" t="s">
        <v>104</v>
      </c>
      <c r="N17" s="129">
        <v>43747.692129629628</v>
      </c>
      <c r="O17" s="146" t="s">
        <v>105</v>
      </c>
      <c r="P17" s="72"/>
    </row>
    <row r="18" spans="1:17" s="73" customFormat="1">
      <c r="A18" s="72"/>
      <c r="B18" s="72"/>
      <c r="C18" s="72"/>
      <c r="D18" s="112"/>
      <c r="E18" s="112"/>
      <c r="F18" s="112"/>
      <c r="G18" s="112"/>
      <c r="H18" s="112"/>
      <c r="I18" s="112"/>
      <c r="J18" s="142"/>
      <c r="K18" s="146"/>
      <c r="L18" s="129"/>
      <c r="M18" s="146"/>
      <c r="N18" s="129"/>
      <c r="O18" s="146"/>
      <c r="P18" s="72"/>
    </row>
    <row r="19" spans="1:17" s="73" customFormat="1">
      <c r="A19" s="75"/>
      <c r="B19" s="75"/>
      <c r="C19" s="75"/>
      <c r="E19" s="79"/>
      <c r="F19" s="80"/>
    </row>
    <row r="21" spans="1:17">
      <c r="A21" s="72" t="s">
        <v>47</v>
      </c>
      <c r="B21" s="72"/>
      <c r="C21" s="72"/>
      <c r="D21" s="78" t="s">
        <v>99</v>
      </c>
    </row>
    <row r="22" spans="1:17">
      <c r="A22" s="75" t="s">
        <v>32</v>
      </c>
      <c r="B22" s="75"/>
      <c r="C22" s="75"/>
      <c r="D22" s="74" t="s">
        <v>49</v>
      </c>
    </row>
    <row r="23" spans="1:17">
      <c r="D23" s="149" t="s">
        <v>115</v>
      </c>
      <c r="G23" s="75" t="str">
        <f>"SELECT * FROM "&amp;D23&amp;" WHERE "&amp;IF($G$5="","",$G$5&amp;$G$6&amp;$G$7&amp;$G$8)</f>
        <v>SELECT * FROM T_PM_BALANCE WHERE COMPANY_CD = '101' AND BRANCH_CD = '001' AND CUSTOMER_CD = '000070' AND BASE_D = '2019/10/15'</v>
      </c>
    </row>
    <row r="24" spans="1:17">
      <c r="D24" s="149" t="s">
        <v>116</v>
      </c>
    </row>
    <row r="25" spans="1:17">
      <c r="D25" s="166" t="s">
        <v>80</v>
      </c>
      <c r="E25" s="166" t="s">
        <v>111</v>
      </c>
      <c r="F25" s="166" t="s">
        <v>112</v>
      </c>
      <c r="G25" s="166" t="s">
        <v>84</v>
      </c>
      <c r="H25" s="166" t="s">
        <v>117</v>
      </c>
      <c r="I25" s="166" t="s">
        <v>118</v>
      </c>
      <c r="J25" s="166" t="s">
        <v>119</v>
      </c>
      <c r="K25" s="166" t="s">
        <v>120</v>
      </c>
      <c r="L25" s="166" t="s">
        <v>154</v>
      </c>
      <c r="M25" s="146" t="s">
        <v>73</v>
      </c>
      <c r="N25" s="146" t="s">
        <v>74</v>
      </c>
      <c r="O25" s="146" t="s">
        <v>75</v>
      </c>
      <c r="P25" s="146" t="s">
        <v>76</v>
      </c>
      <c r="Q25" s="146" t="s">
        <v>77</v>
      </c>
    </row>
    <row r="26" spans="1:17">
      <c r="D26" s="166" t="s">
        <v>56</v>
      </c>
      <c r="E26" s="166" t="s">
        <v>57</v>
      </c>
      <c r="F26" s="166" t="s">
        <v>58</v>
      </c>
      <c r="G26" s="166" t="s">
        <v>85</v>
      </c>
      <c r="H26" s="166" t="s">
        <v>65</v>
      </c>
      <c r="I26" s="166" t="s">
        <v>86</v>
      </c>
      <c r="J26" s="166" t="s">
        <v>87</v>
      </c>
      <c r="K26" s="166" t="s">
        <v>83</v>
      </c>
      <c r="L26" s="166" t="s">
        <v>88</v>
      </c>
      <c r="M26" s="146" t="s">
        <v>51</v>
      </c>
      <c r="N26" s="146" t="s">
        <v>52</v>
      </c>
      <c r="O26" s="146" t="s">
        <v>53</v>
      </c>
      <c r="P26" s="146" t="s">
        <v>54</v>
      </c>
      <c r="Q26" s="146" t="s">
        <v>55</v>
      </c>
    </row>
    <row r="27" spans="1:17">
      <c r="D27" s="143">
        <v>101</v>
      </c>
      <c r="E27" s="125" t="s">
        <v>114</v>
      </c>
      <c r="F27" s="125" t="s">
        <v>108</v>
      </c>
      <c r="G27" s="144">
        <v>43753</v>
      </c>
      <c r="H27" s="143">
        <v>11</v>
      </c>
      <c r="I27" s="143">
        <v>0.10968</v>
      </c>
      <c r="J27" s="143">
        <v>629</v>
      </c>
      <c r="K27" s="143">
        <v>5727</v>
      </c>
      <c r="L27" s="143" t="s">
        <v>109</v>
      </c>
      <c r="M27" s="146" t="s">
        <v>82</v>
      </c>
      <c r="N27" s="129">
        <v>43746.587881944448</v>
      </c>
      <c r="O27" s="146" t="s">
        <v>110</v>
      </c>
      <c r="P27" s="129">
        <v>43747.72074074074</v>
      </c>
      <c r="Q27" s="146" t="s">
        <v>290</v>
      </c>
    </row>
    <row r="28" spans="1:17">
      <c r="D28" s="143">
        <v>101</v>
      </c>
      <c r="E28" s="125" t="s">
        <v>114</v>
      </c>
      <c r="F28" s="125" t="s">
        <v>108</v>
      </c>
      <c r="G28" s="144">
        <v>43753</v>
      </c>
      <c r="H28" s="143">
        <v>12</v>
      </c>
      <c r="I28" s="143">
        <v>0.40686</v>
      </c>
      <c r="J28" s="143">
        <v>1475</v>
      </c>
      <c r="K28" s="143">
        <v>3624.3834000000002</v>
      </c>
      <c r="L28" s="143" t="s">
        <v>109</v>
      </c>
      <c r="M28" s="146" t="s">
        <v>82</v>
      </c>
      <c r="N28" s="129">
        <v>43746.587881944448</v>
      </c>
      <c r="O28" s="146" t="s">
        <v>110</v>
      </c>
      <c r="P28" s="129">
        <v>43748.398668981485</v>
      </c>
      <c r="Q28" s="146" t="s">
        <v>290</v>
      </c>
    </row>
    <row r="29" spans="1:17">
      <c r="M29" s="146"/>
      <c r="N29" s="146"/>
      <c r="O29" s="146"/>
      <c r="P29" s="146"/>
      <c r="Q29" s="146"/>
    </row>
    <row r="30" spans="1:17">
      <c r="M30" s="146"/>
      <c r="N30" s="146"/>
      <c r="O30" s="146"/>
      <c r="P30" s="146"/>
      <c r="Q30" s="146"/>
    </row>
    <row r="31" spans="1:17">
      <c r="M31" s="146"/>
      <c r="N31" s="146"/>
      <c r="O31" s="146"/>
      <c r="P31" s="146"/>
      <c r="Q31" s="146"/>
    </row>
    <row r="32" spans="1:17">
      <c r="M32" s="146"/>
      <c r="N32" s="146"/>
      <c r="O32" s="146"/>
      <c r="P32" s="146"/>
      <c r="Q32" s="146"/>
    </row>
    <row r="33" spans="1:17">
      <c r="M33" s="146"/>
      <c r="N33" s="146"/>
      <c r="O33" s="146"/>
      <c r="P33" s="146"/>
      <c r="Q33" s="146"/>
    </row>
    <row r="34" spans="1:17">
      <c r="M34" s="146"/>
      <c r="N34" s="146"/>
      <c r="O34" s="146"/>
      <c r="P34" s="146"/>
      <c r="Q34" s="146"/>
    </row>
    <row r="35" spans="1:17">
      <c r="M35" s="146"/>
      <c r="N35" s="146"/>
      <c r="O35" s="146"/>
      <c r="P35" s="146"/>
      <c r="Q35" s="146"/>
    </row>
    <row r="36" spans="1:17">
      <c r="M36" s="146"/>
      <c r="N36" s="146"/>
      <c r="O36" s="146"/>
      <c r="P36" s="146"/>
      <c r="Q36" s="146"/>
    </row>
    <row r="37" spans="1:17">
      <c r="M37" s="146"/>
      <c r="N37" s="146"/>
      <c r="O37" s="146"/>
      <c r="P37" s="146"/>
      <c r="Q37" s="146"/>
    </row>
    <row r="38" spans="1:17">
      <c r="M38" s="146"/>
      <c r="N38" s="146"/>
      <c r="O38" s="146"/>
      <c r="P38" s="146"/>
      <c r="Q38" s="146"/>
    </row>
    <row r="39" spans="1:17">
      <c r="M39" s="146"/>
      <c r="N39" s="146"/>
      <c r="O39" s="146"/>
      <c r="P39" s="146"/>
      <c r="Q39" s="146"/>
    </row>
    <row r="40" spans="1:17">
      <c r="M40" s="146"/>
      <c r="N40" s="146"/>
      <c r="O40" s="146"/>
      <c r="P40" s="146"/>
      <c r="Q40" s="146"/>
    </row>
    <row r="41" spans="1:17">
      <c r="M41" s="146"/>
      <c r="N41" s="146"/>
      <c r="O41" s="146"/>
      <c r="P41" s="146"/>
      <c r="Q41" s="146"/>
    </row>
    <row r="42" spans="1:17">
      <c r="M42" s="146"/>
      <c r="N42" s="146"/>
      <c r="O42" s="146"/>
      <c r="P42" s="146"/>
      <c r="Q42" s="146"/>
    </row>
    <row r="43" spans="1:17">
      <c r="M43" s="146"/>
      <c r="N43" s="146"/>
      <c r="O43" s="146"/>
      <c r="P43" s="146"/>
      <c r="Q43" s="146"/>
    </row>
    <row r="44" spans="1:17">
      <c r="M44" s="146"/>
      <c r="N44" s="146"/>
      <c r="O44" s="146"/>
      <c r="P44" s="146"/>
      <c r="Q44" s="146"/>
    </row>
    <row r="45" spans="1:17">
      <c r="M45" s="146"/>
      <c r="N45" s="146"/>
      <c r="O45" s="146"/>
      <c r="P45" s="146"/>
      <c r="Q45" s="146"/>
    </row>
    <row r="48" spans="1:17">
      <c r="A48" s="72" t="s">
        <v>47</v>
      </c>
      <c r="B48" s="72"/>
      <c r="C48" s="72"/>
      <c r="D48" s="78" t="s">
        <v>142</v>
      </c>
    </row>
    <row r="49" spans="1:17">
      <c r="A49" s="75" t="s">
        <v>32</v>
      </c>
      <c r="B49" s="75"/>
      <c r="C49" s="75"/>
      <c r="D49" s="74" t="s">
        <v>49</v>
      </c>
    </row>
    <row r="50" spans="1:17">
      <c r="D50" s="159" t="s">
        <v>143</v>
      </c>
      <c r="G50" s="75" t="str">
        <f>"SELECT COMPANY_CD,BRANCH_CD,CUSTOMER_CD,COMMODITY_CD,SUM(BULLION_QUANTITY) FROM "&amp;D50&amp;" WHERE "&amp;IF($G$5="","",$G$5&amp;$G$6&amp;$G$7&amp;" ORDER_STATUS_CLS = '31' AND BUY_SELL_CLS = '1'  GROUP BY COMPANY_CD,BRANCH_CD,CUSTOMER_CD,COMMODITY_CD")</f>
        <v>SELECT COMPANY_CD,BRANCH_CD,CUSTOMER_CD,COMMODITY_CD,SUM(BULLION_QUANTITY) FROM T_PM_ORDER WHERE COMPANY_CD = '101' AND BRANCH_CD = '001' AND CUSTOMER_CD = '000070' AND  ORDER_STATUS_CLS = '31' AND BUY_SELL_CLS = '1'  GROUP BY COMPANY_CD,BRANCH_CD,CUSTOMER_CD,COMMODITY_CD</v>
      </c>
    </row>
    <row r="51" spans="1:17">
      <c r="D51" s="159" t="s">
        <v>144</v>
      </c>
    </row>
    <row r="52" spans="1:17">
      <c r="D52" s="166" t="s">
        <v>145</v>
      </c>
      <c r="E52" s="166" t="s">
        <v>146</v>
      </c>
      <c r="F52" s="166" t="s">
        <v>147</v>
      </c>
      <c r="G52" s="166" t="s">
        <v>117</v>
      </c>
      <c r="H52" s="166" t="s">
        <v>148</v>
      </c>
      <c r="M52" s="146" t="s">
        <v>73</v>
      </c>
      <c r="N52" s="146" t="s">
        <v>74</v>
      </c>
      <c r="O52" s="146" t="s">
        <v>75</v>
      </c>
      <c r="P52" s="146" t="s">
        <v>76</v>
      </c>
      <c r="Q52" s="146" t="s">
        <v>77</v>
      </c>
    </row>
    <row r="53" spans="1:17">
      <c r="D53" s="166" t="s">
        <v>56</v>
      </c>
      <c r="E53" s="166" t="s">
        <v>57</v>
      </c>
      <c r="F53" s="166" t="s">
        <v>58</v>
      </c>
      <c r="G53" s="166" t="s">
        <v>65</v>
      </c>
      <c r="H53" s="166" t="s">
        <v>149</v>
      </c>
      <c r="M53" s="146" t="s">
        <v>51</v>
      </c>
      <c r="N53" s="146" t="s">
        <v>52</v>
      </c>
      <c r="O53" s="146" t="s">
        <v>53</v>
      </c>
      <c r="P53" s="146" t="s">
        <v>54</v>
      </c>
      <c r="Q53" s="146" t="s">
        <v>55</v>
      </c>
    </row>
    <row r="54" spans="1:17">
      <c r="D54" s="143"/>
      <c r="E54" s="125"/>
      <c r="F54" s="125"/>
      <c r="G54" s="143"/>
      <c r="H54" s="143"/>
      <c r="M54" s="146"/>
      <c r="N54" s="129"/>
      <c r="O54" s="146"/>
      <c r="P54" s="129"/>
      <c r="Q54" s="146"/>
    </row>
    <row r="55" spans="1:17">
      <c r="D55" s="143"/>
      <c r="E55" s="125"/>
      <c r="F55" s="125"/>
      <c r="G55" s="143"/>
      <c r="H55" s="143"/>
      <c r="M55" s="146"/>
      <c r="N55" s="129"/>
      <c r="O55" s="146"/>
      <c r="P55" s="129"/>
      <c r="Q55" s="146"/>
    </row>
    <row r="56" spans="1:17">
      <c r="M56" s="146"/>
      <c r="N56" s="146"/>
      <c r="O56" s="146"/>
      <c r="P56" s="146"/>
      <c r="Q56" s="146"/>
    </row>
  </sheetData>
  <phoneticPr fontId="5"/>
  <dataValidations count="1">
    <dataValidation type="list" allowBlank="1" showInputMessage="1" showErrorMessage="1" sqref="E2">
      <formula1>"StgA1,社内"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5</vt:i4>
      </vt:variant>
    </vt:vector>
  </HeadingPairs>
  <TitlesOfParts>
    <vt:vector size="15" baseType="lpstr">
      <vt:lpstr>表紙</vt:lpstr>
      <vt:lpstr>更新履歴</vt:lpstr>
      <vt:lpstr>概要</vt:lpstr>
      <vt:lpstr>テストケース観点</vt:lpstr>
      <vt:lpstr>遷移確認</vt:lpstr>
      <vt:lpstr>画面確認</vt:lpstr>
      <vt:lpstr>価格取得</vt:lpstr>
      <vt:lpstr>価格取得_Data</vt:lpstr>
      <vt:lpstr>データ確認</vt:lpstr>
      <vt:lpstr>データ確認_Data</vt:lpstr>
      <vt:lpstr>データ確認!Print_Area</vt:lpstr>
      <vt:lpstr>画面確認!Print_Area</vt:lpstr>
      <vt:lpstr>概要!Print_Area</vt:lpstr>
      <vt:lpstr>遷移確認!Print_Area</vt:lpstr>
      <vt:lpstr>データ確認!Print_Titles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 Syou</dc:creator>
  <cp:lastModifiedBy>En Syou</cp:lastModifiedBy>
  <dcterms:created xsi:type="dcterms:W3CDTF">2018-06-01T05:47:54Z</dcterms:created>
  <dcterms:modified xsi:type="dcterms:W3CDTF">2019-10-10T00:39:10Z</dcterms:modified>
</cp:coreProperties>
</file>